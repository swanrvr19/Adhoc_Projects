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jcam\Documents\CC Projects\CC Walkthrough\Cowork for Actuaries - 01\Guided\202511\"/>
    </mc:Choice>
  </mc:AlternateContent>
  <xr:revisionPtr revIDLastSave="0" documentId="13_ncr:1_{D424F6C4-B8F3-4C4F-902C-9D0607C9D14F}" xr6:coauthVersionLast="47" xr6:coauthVersionMax="47" xr10:uidLastSave="{00000000-0000-0000-0000-000000000000}"/>
  <bookViews>
    <workbookView xWindow="-110" yWindow="-110" windowWidth="25820" windowHeight="15500" activeTab="2" xr2:uid="{8DF28D92-D1BF-4823-A743-D91B9D193D68}"/>
  </bookViews>
  <sheets>
    <sheet name="controls" sheetId="4" r:id="rId1"/>
    <sheet name="cf" sheetId="5" r:id="rId2"/>
    <sheet name="Dashboard" sheetId="8" r:id="rId3"/>
    <sheet name="calcs" sheetId="7" r:id="rId4"/>
    <sheet name="pivot" sheetId="6" r:id="rId5"/>
    <sheet name="combined data" sheetId="3" r:id="rId6"/>
    <sheet name="claims" sheetId="1" r:id="rId7"/>
    <sheet name="mbr" sheetId="2" r:id="rId8"/>
  </sheets>
  <definedNames>
    <definedName name="close_date">controls!$B$5</definedName>
    <definedName name="close_month">controls!$B$7</definedName>
    <definedName name="close_year">controls!$B$6</definedName>
    <definedName name="incurred_date">controls!$B$9</definedName>
    <definedName name="incurred_month">controls!$B$11</definedName>
    <definedName name="incurred_year">controls!$B$10</definedName>
    <definedName name="Slicer_claim_type">#N/A</definedName>
    <definedName name="Slicer_plan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7" l="1"/>
  <c r="O24" i="7"/>
  <c r="P24" i="7"/>
  <c r="W21" i="7"/>
  <c r="V27" i="8" s="1"/>
  <c r="W18" i="7"/>
  <c r="V25" i="8" s="1"/>
  <c r="U2" i="7"/>
  <c r="V2" i="7"/>
  <c r="W2" i="7"/>
  <c r="T2" i="7"/>
  <c r="P3" i="7"/>
  <c r="O3" i="7"/>
  <c r="N3" i="7"/>
  <c r="M3" i="7"/>
  <c r="L3" i="7"/>
  <c r="K3" i="7"/>
  <c r="J3" i="7"/>
  <c r="I3" i="7"/>
  <c r="H3" i="7"/>
  <c r="G3" i="7"/>
  <c r="F3" i="7"/>
  <c r="E3" i="7"/>
  <c r="R16" i="7" l="1"/>
  <c r="R11" i="7"/>
  <c r="R6" i="7"/>
  <c r="O2" i="7"/>
  <c r="O13" i="7" s="1"/>
  <c r="P2" i="7"/>
  <c r="P18" i="7" s="1"/>
  <c r="O25" i="8" s="1"/>
  <c r="E2" i="7"/>
  <c r="F16" i="7"/>
  <c r="G16" i="7" s="1"/>
  <c r="H16" i="7" s="1"/>
  <c r="I16" i="7" s="1"/>
  <c r="J16" i="7" s="1"/>
  <c r="K16" i="7" s="1"/>
  <c r="L16" i="7" s="1"/>
  <c r="M16" i="7" s="1"/>
  <c r="N16" i="7" s="1"/>
  <c r="O16" i="7" s="1"/>
  <c r="P16" i="7" s="1"/>
  <c r="B11" i="4"/>
  <c r="B10" i="4"/>
  <c r="Q22" i="8"/>
  <c r="B5" i="8"/>
  <c r="B9" i="4"/>
  <c r="F11" i="7"/>
  <c r="G11" i="7" s="1"/>
  <c r="H11" i="7" s="1"/>
  <c r="I11" i="7" s="1"/>
  <c r="J11" i="7" s="1"/>
  <c r="K11" i="7" s="1"/>
  <c r="L11" i="7" s="1"/>
  <c r="M11" i="7" s="1"/>
  <c r="N11" i="7" s="1"/>
  <c r="O11" i="7" s="1"/>
  <c r="P11" i="7" s="1"/>
  <c r="B6" i="4"/>
  <c r="B7" i="4"/>
  <c r="F6" i="7"/>
  <c r="G6" i="7" s="1"/>
  <c r="H6" i="7" s="1"/>
  <c r="I6" i="7" s="1"/>
  <c r="J6" i="7" s="1"/>
  <c r="K6" i="7" s="1"/>
  <c r="L6" i="7" s="1"/>
  <c r="M6" i="7" s="1"/>
  <c r="N6" i="7" s="1"/>
  <c r="O6" i="7" s="1"/>
  <c r="P6" i="7" s="1"/>
  <c r="E53" i="1"/>
  <c r="F53" i="1"/>
  <c r="G53" i="1"/>
  <c r="E54" i="1"/>
  <c r="F54" i="1"/>
  <c r="G54" i="1"/>
  <c r="E55" i="1"/>
  <c r="F55" i="1"/>
  <c r="G55" i="1"/>
  <c r="E56" i="1"/>
  <c r="F56" i="1"/>
  <c r="G56" i="1"/>
  <c r="E57" i="1"/>
  <c r="F57" i="1"/>
  <c r="G57" i="1"/>
  <c r="E58" i="1"/>
  <c r="F58" i="1"/>
  <c r="G58" i="1"/>
  <c r="H58" i="1"/>
  <c r="I58" i="1" s="1"/>
  <c r="E59" i="1"/>
  <c r="F59" i="1"/>
  <c r="G59" i="1"/>
  <c r="H59" i="1" s="1"/>
  <c r="I59" i="1" s="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H70" i="1" s="1"/>
  <c r="I70" i="1" s="1"/>
  <c r="E71" i="1"/>
  <c r="F71" i="1"/>
  <c r="G71" i="1"/>
  <c r="E72" i="1"/>
  <c r="F72" i="1"/>
  <c r="G72" i="1"/>
  <c r="E73" i="1"/>
  <c r="F73" i="1"/>
  <c r="G73" i="1"/>
  <c r="E74" i="1"/>
  <c r="F74" i="1"/>
  <c r="G74" i="1"/>
  <c r="E75" i="1"/>
  <c r="F75" i="1"/>
  <c r="G75" i="1"/>
  <c r="H75" i="1" s="1"/>
  <c r="I75" i="1" s="1"/>
  <c r="E76" i="1"/>
  <c r="F76" i="1"/>
  <c r="G76" i="1"/>
  <c r="E77" i="1"/>
  <c r="F77" i="1"/>
  <c r="G77" i="1"/>
  <c r="E78" i="1"/>
  <c r="F78" i="1"/>
  <c r="G78" i="1"/>
  <c r="E79" i="1"/>
  <c r="F79" i="1"/>
  <c r="G79" i="1"/>
  <c r="H79" i="1" s="1"/>
  <c r="I79" i="1" s="1"/>
  <c r="E80" i="1"/>
  <c r="F80" i="1"/>
  <c r="G80" i="1"/>
  <c r="E81" i="1"/>
  <c r="F81" i="1"/>
  <c r="G81" i="1"/>
  <c r="E82" i="1"/>
  <c r="F82" i="1"/>
  <c r="G82" i="1"/>
  <c r="E83" i="1"/>
  <c r="F83" i="1"/>
  <c r="G83" i="1"/>
  <c r="E84" i="1"/>
  <c r="F84" i="1"/>
  <c r="G84" i="1"/>
  <c r="E85" i="1"/>
  <c r="F85" i="1"/>
  <c r="G85" i="1"/>
  <c r="E86" i="1"/>
  <c r="F86" i="1"/>
  <c r="G86" i="1"/>
  <c r="H86" i="1" s="1"/>
  <c r="I86" i="1" s="1"/>
  <c r="E87" i="1"/>
  <c r="F87" i="1"/>
  <c r="G87" i="1"/>
  <c r="E88" i="1"/>
  <c r="F88" i="1"/>
  <c r="G88" i="1"/>
  <c r="E89" i="1"/>
  <c r="F89" i="1"/>
  <c r="G89" i="1"/>
  <c r="E90" i="1"/>
  <c r="F90" i="1"/>
  <c r="G90" i="1"/>
  <c r="H90" i="1" s="1"/>
  <c r="I90" i="1" s="1"/>
  <c r="E91" i="1"/>
  <c r="F91" i="1"/>
  <c r="G91" i="1"/>
  <c r="H91" i="1" s="1"/>
  <c r="I91" i="1" s="1"/>
  <c r="E92" i="1"/>
  <c r="F92" i="1"/>
  <c r="G92" i="1"/>
  <c r="E93" i="1"/>
  <c r="F93" i="1"/>
  <c r="G93" i="1"/>
  <c r="E94" i="1"/>
  <c r="F94" i="1"/>
  <c r="G94" i="1"/>
  <c r="E95" i="1"/>
  <c r="F95" i="1"/>
  <c r="G95" i="1"/>
  <c r="H95" i="1" s="1"/>
  <c r="I95" i="1" s="1"/>
  <c r="E96" i="1"/>
  <c r="F96" i="1"/>
  <c r="G96" i="1"/>
  <c r="E97" i="1"/>
  <c r="F97" i="1"/>
  <c r="G97" i="1"/>
  <c r="E98" i="1"/>
  <c r="F98" i="1"/>
  <c r="G98" i="1"/>
  <c r="G8" i="1"/>
  <c r="G9" i="1"/>
  <c r="G10" i="1"/>
  <c r="G11" i="1"/>
  <c r="G12" i="1"/>
  <c r="G13" i="1"/>
  <c r="G14" i="1"/>
  <c r="G15" i="1"/>
  <c r="G16" i="1"/>
  <c r="G17" i="1"/>
  <c r="G18" i="1"/>
  <c r="H18" i="1" s="1"/>
  <c r="I18" i="1" s="1"/>
  <c r="G19" i="1"/>
  <c r="G20" i="1"/>
  <c r="G21" i="1"/>
  <c r="G22" i="1"/>
  <c r="G23" i="1"/>
  <c r="G24" i="1"/>
  <c r="G25" i="1"/>
  <c r="G26" i="1"/>
  <c r="G27" i="1"/>
  <c r="G28" i="1"/>
  <c r="G29" i="1"/>
  <c r="G30" i="1"/>
  <c r="G31" i="1"/>
  <c r="G32" i="1"/>
  <c r="G33" i="1"/>
  <c r="G34" i="1"/>
  <c r="H34" i="1" s="1"/>
  <c r="I34" i="1" s="1"/>
  <c r="G35" i="1"/>
  <c r="G36" i="1"/>
  <c r="G37" i="1"/>
  <c r="G38" i="1"/>
  <c r="G39" i="1"/>
  <c r="G40" i="1"/>
  <c r="G41" i="1"/>
  <c r="G42" i="1"/>
  <c r="G43" i="1"/>
  <c r="G44" i="1"/>
  <c r="G45" i="1"/>
  <c r="G46" i="1"/>
  <c r="G47" i="1"/>
  <c r="G48" i="1"/>
  <c r="G49" i="1"/>
  <c r="G50" i="1"/>
  <c r="H50" i="1" s="1"/>
  <c r="I50" i="1" s="1"/>
  <c r="G51" i="1"/>
  <c r="G52" i="1"/>
  <c r="G7" i="1"/>
  <c r="E8" i="1"/>
  <c r="F8" i="1"/>
  <c r="E9" i="1"/>
  <c r="F9" i="1"/>
  <c r="E10" i="1"/>
  <c r="F10" i="1"/>
  <c r="E11" i="1"/>
  <c r="F11" i="1"/>
  <c r="E12" i="1"/>
  <c r="F12" i="1"/>
  <c r="E13" i="1"/>
  <c r="F13" i="1"/>
  <c r="E14" i="1"/>
  <c r="F14" i="1"/>
  <c r="E15" i="1"/>
  <c r="F15" i="1"/>
  <c r="E16" i="1"/>
  <c r="F16" i="1"/>
  <c r="E17" i="1"/>
  <c r="F17" i="1"/>
  <c r="E18" i="1"/>
  <c r="F18" i="1"/>
  <c r="E19" i="1"/>
  <c r="F19" i="1"/>
  <c r="E20" i="1"/>
  <c r="F20" i="1"/>
  <c r="E21" i="1"/>
  <c r="F21" i="1"/>
  <c r="E22" i="1"/>
  <c r="F22" i="1"/>
  <c r="E23" i="1"/>
  <c r="F23" i="1"/>
  <c r="E24" i="1"/>
  <c r="F24" i="1"/>
  <c r="E25" i="1"/>
  <c r="F25" i="1"/>
  <c r="E26" i="1"/>
  <c r="F26" i="1"/>
  <c r="E27" i="1"/>
  <c r="F27" i="1"/>
  <c r="E28" i="1"/>
  <c r="F28" i="1"/>
  <c r="E29" i="1"/>
  <c r="F29" i="1"/>
  <c r="E30" i="1"/>
  <c r="F30" i="1"/>
  <c r="E31" i="1"/>
  <c r="F31" i="1"/>
  <c r="E32" i="1"/>
  <c r="F32" i="1"/>
  <c r="E33" i="1"/>
  <c r="F33"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F7" i="1"/>
  <c r="E7" i="1"/>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E7" i="2"/>
  <c r="D7" i="2"/>
  <c r="K12" i="7"/>
  <c r="N12" i="7"/>
  <c r="I12" i="7"/>
  <c r="I7" i="7"/>
  <c r="E8" i="7"/>
  <c r="G12" i="7"/>
  <c r="E13" i="7"/>
  <c r="H7" i="7"/>
  <c r="P7" i="7"/>
  <c r="N7" i="7"/>
  <c r="G7" i="7"/>
  <c r="F12" i="7"/>
  <c r="P12" i="7"/>
  <c r="L7" i="7"/>
  <c r="M12" i="7"/>
  <c r="M7" i="7"/>
  <c r="E12" i="7"/>
  <c r="O7" i="7"/>
  <c r="O12" i="7"/>
  <c r="J12" i="7"/>
  <c r="K7" i="7"/>
  <c r="F7" i="7"/>
  <c r="L12" i="7"/>
  <c r="E7" i="7"/>
  <c r="J7" i="7"/>
  <c r="H12" i="7"/>
  <c r="T7" i="7" l="1"/>
  <c r="W7" i="7"/>
  <c r="U7" i="7"/>
  <c r="V7" i="7"/>
  <c r="T12" i="7"/>
  <c r="W12" i="7"/>
  <c r="V12" i="7"/>
  <c r="U12" i="7"/>
  <c r="U17" i="7" s="1"/>
  <c r="T24" i="8" s="1"/>
  <c r="N2" i="7"/>
  <c r="N18" i="7" s="1"/>
  <c r="M25" i="8" s="1"/>
  <c r="M2" i="7"/>
  <c r="L2" i="7"/>
  <c r="E17" i="7"/>
  <c r="D24" i="8" s="1"/>
  <c r="Y12" i="7"/>
  <c r="N17" i="7"/>
  <c r="M24" i="8" s="1"/>
  <c r="J17" i="7"/>
  <c r="I24" i="8" s="1"/>
  <c r="I17" i="7"/>
  <c r="H24" i="8" s="1"/>
  <c r="L17" i="7"/>
  <c r="K24" i="8" s="1"/>
  <c r="G17" i="7"/>
  <c r="F24" i="8" s="1"/>
  <c r="P17" i="7"/>
  <c r="O24" i="8" s="1"/>
  <c r="O17" i="7"/>
  <c r="N24" i="8" s="1"/>
  <c r="M17" i="7"/>
  <c r="L24" i="8" s="1"/>
  <c r="K17" i="7"/>
  <c r="J24" i="8" s="1"/>
  <c r="H17" i="7"/>
  <c r="G24" i="8" s="1"/>
  <c r="F17" i="7"/>
  <c r="E24" i="8" s="1"/>
  <c r="E18" i="7"/>
  <c r="E24" i="7" s="1"/>
  <c r="O8" i="7"/>
  <c r="O18" i="7"/>
  <c r="N25" i="8" s="1"/>
  <c r="K2" i="7"/>
  <c r="P21" i="7"/>
  <c r="O27" i="8" s="1"/>
  <c r="J2" i="7"/>
  <c r="O21" i="7"/>
  <c r="N27" i="8" s="1"/>
  <c r="I2" i="7"/>
  <c r="F2" i="7"/>
  <c r="P13" i="7"/>
  <c r="H2" i="7"/>
  <c r="G2" i="7"/>
  <c r="P8" i="7"/>
  <c r="H48" i="1"/>
  <c r="I48" i="1" s="1"/>
  <c r="H13" i="1"/>
  <c r="I13" i="1" s="1"/>
  <c r="H12" i="1"/>
  <c r="I12" i="1" s="1"/>
  <c r="H84" i="1"/>
  <c r="I84" i="1" s="1"/>
  <c r="H68" i="1"/>
  <c r="I68" i="1" s="1"/>
  <c r="H49" i="1"/>
  <c r="I49" i="1" s="1"/>
  <c r="H54" i="1"/>
  <c r="I54" i="1" s="1"/>
  <c r="H80" i="1"/>
  <c r="I80" i="1" s="1"/>
  <c r="H47" i="1"/>
  <c r="I47" i="1" s="1"/>
  <c r="H85" i="1"/>
  <c r="I85" i="1" s="1"/>
  <c r="H30" i="1"/>
  <c r="I30" i="1" s="1"/>
  <c r="H74" i="1"/>
  <c r="I74" i="1" s="1"/>
  <c r="H63" i="1"/>
  <c r="I63" i="1" s="1"/>
  <c r="H28" i="1"/>
  <c r="I28" i="1" s="1"/>
  <c r="H43" i="1"/>
  <c r="I43" i="1" s="1"/>
  <c r="H73" i="1"/>
  <c r="I73" i="1" s="1"/>
  <c r="H26" i="1"/>
  <c r="I26" i="1" s="1"/>
  <c r="H57" i="1"/>
  <c r="I57" i="1" s="1"/>
  <c r="H41" i="1"/>
  <c r="I41" i="1" s="1"/>
  <c r="H67" i="1"/>
  <c r="I67" i="1" s="1"/>
  <c r="H40" i="1"/>
  <c r="I40" i="1" s="1"/>
  <c r="H24" i="1"/>
  <c r="I24" i="1" s="1"/>
  <c r="H8" i="1"/>
  <c r="I8" i="1" s="1"/>
  <c r="H93" i="1"/>
  <c r="I93" i="1" s="1"/>
  <c r="H88" i="1"/>
  <c r="I88" i="1" s="1"/>
  <c r="H72" i="1"/>
  <c r="I72" i="1" s="1"/>
  <c r="H31" i="1"/>
  <c r="I31" i="1" s="1"/>
  <c r="H45" i="1"/>
  <c r="I45" i="1" s="1"/>
  <c r="H11" i="1"/>
  <c r="I11" i="1" s="1"/>
  <c r="H78" i="1"/>
  <c r="I78" i="1" s="1"/>
  <c r="H83" i="1"/>
  <c r="I83" i="1" s="1"/>
  <c r="H39" i="1"/>
  <c r="I39" i="1" s="1"/>
  <c r="H23" i="1"/>
  <c r="I23" i="1" s="1"/>
  <c r="H98" i="1"/>
  <c r="I98" i="1" s="1"/>
  <c r="H77" i="1"/>
  <c r="I77" i="1" s="1"/>
  <c r="H61" i="1"/>
  <c r="I61" i="1" s="1"/>
  <c r="H56" i="1"/>
  <c r="I56" i="1" s="1"/>
  <c r="H22" i="1"/>
  <c r="I22" i="1" s="1"/>
  <c r="H82" i="1"/>
  <c r="I82" i="1" s="1"/>
  <c r="H66" i="1"/>
  <c r="I66" i="1" s="1"/>
  <c r="H17" i="1"/>
  <c r="I17" i="1" s="1"/>
  <c r="H96" i="1"/>
  <c r="I96" i="1" s="1"/>
  <c r="H32" i="1"/>
  <c r="I32" i="1" s="1"/>
  <c r="H14" i="1"/>
  <c r="I14" i="1" s="1"/>
  <c r="H89" i="1"/>
  <c r="I89" i="1" s="1"/>
  <c r="H10" i="1"/>
  <c r="I10" i="1" s="1"/>
  <c r="H7" i="1"/>
  <c r="I7" i="1" s="1"/>
  <c r="H37" i="1"/>
  <c r="I37" i="1" s="1"/>
  <c r="H21" i="1"/>
  <c r="I21" i="1" s="1"/>
  <c r="H92" i="1"/>
  <c r="I92" i="1" s="1"/>
  <c r="H87" i="1"/>
  <c r="I87" i="1" s="1"/>
  <c r="H71" i="1"/>
  <c r="I71" i="1" s="1"/>
  <c r="H33" i="1"/>
  <c r="I33" i="1" s="1"/>
  <c r="H16" i="1"/>
  <c r="I16" i="1" s="1"/>
  <c r="H15" i="1"/>
  <c r="I15" i="1" s="1"/>
  <c r="H46" i="1"/>
  <c r="I46" i="1" s="1"/>
  <c r="H53" i="1"/>
  <c r="I53" i="1" s="1"/>
  <c r="H29" i="1"/>
  <c r="I29" i="1" s="1"/>
  <c r="H94" i="1"/>
  <c r="I94" i="1" s="1"/>
  <c r="H42" i="1"/>
  <c r="I42" i="1" s="1"/>
  <c r="H62" i="1"/>
  <c r="I62" i="1" s="1"/>
  <c r="H9" i="1"/>
  <c r="I9" i="1" s="1"/>
  <c r="H52" i="1"/>
  <c r="I52" i="1" s="1"/>
  <c r="H36" i="1"/>
  <c r="I36" i="1" s="1"/>
  <c r="H20" i="1"/>
  <c r="I20" i="1" s="1"/>
  <c r="H97" i="1"/>
  <c r="I97" i="1" s="1"/>
  <c r="H76" i="1"/>
  <c r="I76" i="1" s="1"/>
  <c r="H60" i="1"/>
  <c r="I60" i="1" s="1"/>
  <c r="H55" i="1"/>
  <c r="I55" i="1" s="1"/>
  <c r="H64" i="1"/>
  <c r="I64" i="1" s="1"/>
  <c r="H69" i="1"/>
  <c r="I69" i="1" s="1"/>
  <c r="H44" i="1"/>
  <c r="I44" i="1" s="1"/>
  <c r="H27" i="1"/>
  <c r="I27" i="1" s="1"/>
  <c r="H25" i="1"/>
  <c r="I25" i="1" s="1"/>
  <c r="H38" i="1"/>
  <c r="I38" i="1" s="1"/>
  <c r="H51" i="1"/>
  <c r="I51" i="1" s="1"/>
  <c r="H35" i="1"/>
  <c r="I35" i="1" s="1"/>
  <c r="H19" i="1"/>
  <c r="I19" i="1" s="1"/>
  <c r="H81" i="1"/>
  <c r="I81" i="1" s="1"/>
  <c r="H65" i="1"/>
  <c r="I65" i="1" s="1"/>
  <c r="Y7" i="7"/>
  <c r="F13" i="7"/>
  <c r="G8" i="7"/>
  <c r="K8" i="7"/>
  <c r="K13" i="7"/>
  <c r="F8" i="7"/>
  <c r="L8" i="7"/>
  <c r="J8" i="7"/>
  <c r="I8" i="7"/>
  <c r="H8" i="7"/>
  <c r="J13" i="7"/>
  <c r="I13" i="7"/>
  <c r="H13" i="7"/>
  <c r="L13" i="7"/>
  <c r="M13" i="7"/>
  <c r="G13" i="7"/>
  <c r="M8" i="7"/>
  <c r="W17" i="7" l="1"/>
  <c r="V24" i="8" s="1"/>
  <c r="V17" i="7"/>
  <c r="U24" i="8" s="1"/>
  <c r="V8" i="7"/>
  <c r="U8" i="7"/>
  <c r="T8" i="7"/>
  <c r="T17" i="7"/>
  <c r="S24" i="8" s="1"/>
  <c r="V13" i="7"/>
  <c r="U13" i="7"/>
  <c r="T13" i="7"/>
  <c r="T18" i="7" s="1"/>
  <c r="M18" i="7"/>
  <c r="M21" i="7" s="1"/>
  <c r="L27" i="8" s="1"/>
  <c r="N8" i="7"/>
  <c r="W8" i="7" s="1"/>
  <c r="L18" i="7"/>
  <c r="K25" i="8" s="1"/>
  <c r="N21" i="7"/>
  <c r="M27" i="8" s="1"/>
  <c r="N13" i="7"/>
  <c r="W13" i="7" s="1"/>
  <c r="R13" i="7"/>
  <c r="R8" i="7"/>
  <c r="R7" i="7"/>
  <c r="R2" i="7"/>
  <c r="K18" i="7"/>
  <c r="H18" i="7"/>
  <c r="I18" i="7"/>
  <c r="Y17" i="7"/>
  <c r="X24" i="8" s="1"/>
  <c r="F18" i="7"/>
  <c r="J18" i="7"/>
  <c r="R12" i="7"/>
  <c r="G18" i="7"/>
  <c r="E21" i="7"/>
  <c r="D27" i="8" s="1"/>
  <c r="D25" i="8"/>
  <c r="V18" i="7" l="1"/>
  <c r="V21" i="7" s="1"/>
  <c r="U27" i="8" s="1"/>
  <c r="U18" i="7"/>
  <c r="T25" i="8" s="1"/>
  <c r="R18" i="7"/>
  <c r="Q25" i="8" s="1"/>
  <c r="H25" i="8"/>
  <c r="I24" i="7"/>
  <c r="G25" i="8"/>
  <c r="H24" i="7"/>
  <c r="J25" i="8"/>
  <c r="K24" i="7"/>
  <c r="F25" i="8"/>
  <c r="G24" i="7"/>
  <c r="L21" i="7"/>
  <c r="K27" i="8" s="1"/>
  <c r="L24" i="7"/>
  <c r="I25" i="8"/>
  <c r="J24" i="7"/>
  <c r="L25" i="8"/>
  <c r="M24" i="7"/>
  <c r="S25" i="8"/>
  <c r="T21" i="7"/>
  <c r="S27" i="8" s="1"/>
  <c r="E25" i="8"/>
  <c r="F24" i="7"/>
  <c r="H21" i="7"/>
  <c r="G27" i="8" s="1"/>
  <c r="J21" i="7"/>
  <c r="I27" i="8" s="1"/>
  <c r="F21" i="7"/>
  <c r="E27" i="8" s="1"/>
  <c r="K21" i="7"/>
  <c r="J27" i="8" s="1"/>
  <c r="I21" i="7"/>
  <c r="H27" i="8" s="1"/>
  <c r="G21" i="7"/>
  <c r="F27" i="8" s="1"/>
  <c r="R17" i="7"/>
  <c r="Q24" i="8" s="1"/>
  <c r="U25" i="8" l="1"/>
  <c r="U21" i="7"/>
  <c r="T27" i="8" s="1"/>
  <c r="R21" i="7"/>
  <c r="Q27" i="8" s="1"/>
</calcChain>
</file>

<file path=xl/sharedStrings.xml><?xml version="1.0" encoding="utf-8"?>
<sst xmlns="http://schemas.openxmlformats.org/spreadsheetml/2006/main" count="983" uniqueCount="206">
  <si>
    <t>incurred_year_month</t>
  </si>
  <si>
    <t>plan_type</t>
  </si>
  <si>
    <t>plan_paid</t>
  </si>
  <si>
    <t>HMO</t>
  </si>
  <si>
    <t>PPO</t>
  </si>
  <si>
    <t>year_month</t>
  </si>
  <si>
    <t>member_months</t>
  </si>
  <si>
    <t>data pasted in from clms_yyyymm CSV file and formatted</t>
  </si>
  <si>
    <t>data pasted in from mbr_yyyymm CSV file and formatted</t>
  </si>
  <si>
    <t>incurred_month</t>
  </si>
  <si>
    <t>incurred_year</t>
  </si>
  <si>
    <t>End-of-month date for close month</t>
  </si>
  <si>
    <t>year</t>
  </si>
  <si>
    <t>month</t>
  </si>
  <si>
    <t>lag</t>
  </si>
  <si>
    <t>completion_factor</t>
  </si>
  <si>
    <t>factor</t>
  </si>
  <si>
    <t>lookup</t>
  </si>
  <si>
    <t>ultimate_incurred</t>
  </si>
  <si>
    <t>mbr</t>
  </si>
  <si>
    <t>Row Labels</t>
  </si>
  <si>
    <t>Grand Total</t>
  </si>
  <si>
    <t>Column Labels</t>
  </si>
  <si>
    <t>Sum of member_months</t>
  </si>
  <si>
    <t>claim_type</t>
  </si>
  <si>
    <t>IP</t>
  </si>
  <si>
    <t>Non-IP</t>
  </si>
  <si>
    <t>clms</t>
  </si>
  <si>
    <t>Sum of ultimate_incurred</t>
  </si>
  <si>
    <t>FY</t>
  </si>
  <si>
    <t>Close Month</t>
  </si>
  <si>
    <t>Close Year</t>
  </si>
  <si>
    <t>Variables</t>
  </si>
  <si>
    <t>Incurred Date</t>
  </si>
  <si>
    <t>Close Date</t>
  </si>
  <si>
    <t>Jan</t>
  </si>
  <si>
    <t>Feb</t>
  </si>
  <si>
    <t>Mar</t>
  </si>
  <si>
    <t>Apr</t>
  </si>
  <si>
    <t>May</t>
  </si>
  <si>
    <t>Jun</t>
  </si>
  <si>
    <t>Jul</t>
  </si>
  <si>
    <t>Aug</t>
  </si>
  <si>
    <t>Sep</t>
  </si>
  <si>
    <t>Oct</t>
  </si>
  <si>
    <t>Nov</t>
  </si>
  <si>
    <t>Dec</t>
  </si>
  <si>
    <t>Incurred Month</t>
  </si>
  <si>
    <t>Incurred Year</t>
  </si>
  <si>
    <t>inputs are in teal text throughout file</t>
  </si>
  <si>
    <t>PMPMs</t>
  </si>
  <si>
    <t>Trend</t>
  </si>
  <si>
    <t>25/'24</t>
  </si>
  <si>
    <t>Q1</t>
  </si>
  <si>
    <t>Q2</t>
  </si>
  <si>
    <t>Q3</t>
  </si>
  <si>
    <t>Q4</t>
  </si>
  <si>
    <t>Mth YTD</t>
  </si>
  <si>
    <t>Qtr YTD</t>
  </si>
  <si>
    <t>CY Graph</t>
  </si>
  <si>
    <t>HMOIP0</t>
  </si>
  <si>
    <t>HMOIP1</t>
  </si>
  <si>
    <t>HMOIP2</t>
  </si>
  <si>
    <t>HMOIP3</t>
  </si>
  <si>
    <t>HMOIP4</t>
  </si>
  <si>
    <t>HMOIP5</t>
  </si>
  <si>
    <t>HMOIP6</t>
  </si>
  <si>
    <t>HMOIP7</t>
  </si>
  <si>
    <t>HMOIP8</t>
  </si>
  <si>
    <t>HMOIP9</t>
  </si>
  <si>
    <t>HMOIP10</t>
  </si>
  <si>
    <t>HMOIP11</t>
  </si>
  <si>
    <t>HMOIP12</t>
  </si>
  <si>
    <t>HMOIP13</t>
  </si>
  <si>
    <t>HMOIP14</t>
  </si>
  <si>
    <t>HMOIP15</t>
  </si>
  <si>
    <t>HMOIP16</t>
  </si>
  <si>
    <t>HMOIP17</t>
  </si>
  <si>
    <t>HMOIP18</t>
  </si>
  <si>
    <t>HMOIP19</t>
  </si>
  <si>
    <t>HMOIP20</t>
  </si>
  <si>
    <t>HMOIP21</t>
  </si>
  <si>
    <t>HMOIP22</t>
  </si>
  <si>
    <t>HMOIP23</t>
  </si>
  <si>
    <t>HMOIP24</t>
  </si>
  <si>
    <t>HMOIP25</t>
  </si>
  <si>
    <t>HMOIP26</t>
  </si>
  <si>
    <t>HMOIP27</t>
  </si>
  <si>
    <t>HMOIP28</t>
  </si>
  <si>
    <t>HMOIP29</t>
  </si>
  <si>
    <t>HMOIP30</t>
  </si>
  <si>
    <t>HMOIP31</t>
  </si>
  <si>
    <t>HMOIP32</t>
  </si>
  <si>
    <t>HMOIP33</t>
  </si>
  <si>
    <t>HMOIP34</t>
  </si>
  <si>
    <t>HMOIP35</t>
  </si>
  <si>
    <t>HMONon-IP0</t>
  </si>
  <si>
    <t>HMONon-IP1</t>
  </si>
  <si>
    <t>HMONon-IP2</t>
  </si>
  <si>
    <t>HMONon-IP3</t>
  </si>
  <si>
    <t>HMONon-IP4</t>
  </si>
  <si>
    <t>HMONon-IP5</t>
  </si>
  <si>
    <t>HMONon-IP6</t>
  </si>
  <si>
    <t>HMONon-IP7</t>
  </si>
  <si>
    <t>HMONon-IP8</t>
  </si>
  <si>
    <t>HMONon-IP9</t>
  </si>
  <si>
    <t>HMONon-IP10</t>
  </si>
  <si>
    <t>HMONon-IP11</t>
  </si>
  <si>
    <t>HMONon-IP12</t>
  </si>
  <si>
    <t>HMONon-IP13</t>
  </si>
  <si>
    <t>HMONon-IP14</t>
  </si>
  <si>
    <t>HMONon-IP15</t>
  </si>
  <si>
    <t>HMONon-IP16</t>
  </si>
  <si>
    <t>HMONon-IP17</t>
  </si>
  <si>
    <t>HMONon-IP18</t>
  </si>
  <si>
    <t>HMONon-IP19</t>
  </si>
  <si>
    <t>HMONon-IP20</t>
  </si>
  <si>
    <t>HMONon-IP21</t>
  </si>
  <si>
    <t>HMONon-IP22</t>
  </si>
  <si>
    <t>HMONon-IP23</t>
  </si>
  <si>
    <t>HMONon-IP24</t>
  </si>
  <si>
    <t>HMONon-IP25</t>
  </si>
  <si>
    <t>HMONon-IP26</t>
  </si>
  <si>
    <t>HMONon-IP27</t>
  </si>
  <si>
    <t>HMONon-IP28</t>
  </si>
  <si>
    <t>HMONon-IP29</t>
  </si>
  <si>
    <t>HMONon-IP30</t>
  </si>
  <si>
    <t>HMONon-IP31</t>
  </si>
  <si>
    <t>HMONon-IP32</t>
  </si>
  <si>
    <t>HMONon-IP33</t>
  </si>
  <si>
    <t>HMONon-IP34</t>
  </si>
  <si>
    <t>HMONon-IP35</t>
  </si>
  <si>
    <t>PPOIP0</t>
  </si>
  <si>
    <t>PPOIP1</t>
  </si>
  <si>
    <t>PPOIP2</t>
  </si>
  <si>
    <t>PPOIP3</t>
  </si>
  <si>
    <t>PPOIP4</t>
  </si>
  <si>
    <t>PPOIP5</t>
  </si>
  <si>
    <t>PPOIP6</t>
  </si>
  <si>
    <t>PPOIP7</t>
  </si>
  <si>
    <t>PPOIP8</t>
  </si>
  <si>
    <t>PPOIP9</t>
  </si>
  <si>
    <t>PPOIP10</t>
  </si>
  <si>
    <t>PPOIP11</t>
  </si>
  <si>
    <t>PPOIP12</t>
  </si>
  <si>
    <t>PPOIP13</t>
  </si>
  <si>
    <t>PPOIP14</t>
  </si>
  <si>
    <t>PPOIP15</t>
  </si>
  <si>
    <t>PPOIP16</t>
  </si>
  <si>
    <t>PPOIP17</t>
  </si>
  <si>
    <t>PPOIP18</t>
  </si>
  <si>
    <t>PPOIP19</t>
  </si>
  <si>
    <t>PPOIP20</t>
  </si>
  <si>
    <t>PPOIP21</t>
  </si>
  <si>
    <t>PPOIP22</t>
  </si>
  <si>
    <t>PPOIP23</t>
  </si>
  <si>
    <t>PPOIP24</t>
  </si>
  <si>
    <t>PPOIP25</t>
  </si>
  <si>
    <t>PPOIP26</t>
  </si>
  <si>
    <t>PPOIP27</t>
  </si>
  <si>
    <t>PPOIP28</t>
  </si>
  <si>
    <t>PPOIP29</t>
  </si>
  <si>
    <t>PPOIP30</t>
  </si>
  <si>
    <t>PPOIP31</t>
  </si>
  <si>
    <t>PPOIP32</t>
  </si>
  <si>
    <t>PPOIP33</t>
  </si>
  <si>
    <t>PPOIP34</t>
  </si>
  <si>
    <t>PPOIP35</t>
  </si>
  <si>
    <t>PPONon-IP0</t>
  </si>
  <si>
    <t>PPONon-IP1</t>
  </si>
  <si>
    <t>PPONon-IP2</t>
  </si>
  <si>
    <t>PPONon-IP3</t>
  </si>
  <si>
    <t>PPONon-IP4</t>
  </si>
  <si>
    <t>PPONon-IP5</t>
  </si>
  <si>
    <t>PPONon-IP6</t>
  </si>
  <si>
    <t>PPONon-IP7</t>
  </si>
  <si>
    <t>PPONon-IP8</t>
  </si>
  <si>
    <t>PPONon-IP9</t>
  </si>
  <si>
    <t>PPONon-IP10</t>
  </si>
  <si>
    <t>PPONon-IP11</t>
  </si>
  <si>
    <t>PPONon-IP12</t>
  </si>
  <si>
    <t>PPONon-IP13</t>
  </si>
  <si>
    <t>PPONon-IP14</t>
  </si>
  <si>
    <t>PPONon-IP15</t>
  </si>
  <si>
    <t>PPONon-IP16</t>
  </si>
  <si>
    <t>PPONon-IP17</t>
  </si>
  <si>
    <t>PPONon-IP18</t>
  </si>
  <si>
    <t>PPONon-IP19</t>
  </si>
  <si>
    <t>PPONon-IP20</t>
  </si>
  <si>
    <t>PPONon-IP21</t>
  </si>
  <si>
    <t>PPONon-IP22</t>
  </si>
  <si>
    <t>PPONon-IP23</t>
  </si>
  <si>
    <t>PPONon-IP24</t>
  </si>
  <si>
    <t>PPONon-IP25</t>
  </si>
  <si>
    <t>PPONon-IP26</t>
  </si>
  <si>
    <t>PPONon-IP27</t>
  </si>
  <si>
    <t>PPONon-IP28</t>
  </si>
  <si>
    <t>PPONon-IP29</t>
  </si>
  <si>
    <t>PPONon-IP30</t>
  </si>
  <si>
    <t>PPONon-IP31</t>
  </si>
  <si>
    <t>PPONon-IP32</t>
  </si>
  <si>
    <t>PPONon-IP33</t>
  </si>
  <si>
    <t>PPONon-IP34</t>
  </si>
  <si>
    <t>PPONon-IP35</t>
  </si>
  <si>
    <t>see 'Completion Factors' folder and use most recent</t>
  </si>
  <si>
    <t>Claude Cowork for Actuaries - Claims PMPM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</si>
</sst>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s>
  <fonts count="10" x14ac:knownFonts="1">
    <font>
      <sz val="11"/>
      <color theme="1"/>
      <name val="Aptos Narrow"/>
      <family val="2"/>
      <scheme val="minor"/>
    </font>
    <font>
      <sz val="11"/>
      <color theme="1"/>
      <name val="Aptos Narrow"/>
      <family val="2"/>
      <scheme val="minor"/>
    </font>
    <font>
      <sz val="9"/>
      <color theme="1"/>
      <name val="Aptos Narrow"/>
      <family val="2"/>
      <scheme val="minor"/>
    </font>
    <font>
      <b/>
      <sz val="9"/>
      <color theme="1"/>
      <name val="Aptos Narrow"/>
      <family val="2"/>
      <scheme val="minor"/>
    </font>
    <font>
      <sz val="9"/>
      <color theme="4"/>
      <name val="Aptos Narrow"/>
      <family val="2"/>
      <scheme val="minor"/>
    </font>
    <font>
      <i/>
      <sz val="9"/>
      <color theme="1"/>
      <name val="Aptos Narrow"/>
      <family val="2"/>
      <scheme val="minor"/>
    </font>
    <font>
      <b/>
      <u/>
      <sz val="9"/>
      <color theme="1"/>
      <name val="Aptos Narrow"/>
      <family val="2"/>
      <scheme val="minor"/>
    </font>
    <font>
      <sz val="8"/>
      <name val="Aptos Narrow"/>
      <family val="2"/>
      <scheme val="minor"/>
    </font>
    <font>
      <b/>
      <i/>
      <sz val="9"/>
      <color theme="1"/>
      <name val="Aptos Narrow"/>
      <family val="2"/>
      <scheme val="minor"/>
    </font>
    <font>
      <b/>
      <sz val="22"/>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0" fontId="2" fillId="0" borderId="0" xfId="0" applyFont="1"/>
    <xf numFmtId="164" fontId="2" fillId="0" borderId="0" xfId="2" applyNumberFormat="1" applyFont="1"/>
    <xf numFmtId="165" fontId="2" fillId="0" borderId="0" xfId="1" applyNumberFormat="1" applyFont="1"/>
    <xf numFmtId="0" fontId="3" fillId="0" borderId="0" xfId="0" applyFont="1"/>
    <xf numFmtId="165" fontId="3" fillId="0" borderId="0" xfId="1" applyNumberFormat="1" applyFont="1"/>
    <xf numFmtId="164" fontId="3" fillId="0" borderId="0" xfId="2" applyNumberFormat="1" applyFont="1"/>
    <xf numFmtId="0" fontId="4" fillId="0" borderId="0" xfId="0" applyFont="1"/>
    <xf numFmtId="164" fontId="4" fillId="0" borderId="0" xfId="2" applyNumberFormat="1" applyFont="1"/>
    <xf numFmtId="165" fontId="4" fillId="0" borderId="0" xfId="1" applyNumberFormat="1" applyFont="1"/>
    <xf numFmtId="0" fontId="5" fillId="0" borderId="0" xfId="0" applyFont="1"/>
    <xf numFmtId="14" fontId="4" fillId="0" borderId="0" xfId="0" applyNumberFormat="1" applyFont="1"/>
    <xf numFmtId="14" fontId="2" fillId="0" borderId="0" xfId="0" applyNumberFormat="1" applyFont="1"/>
    <xf numFmtId="43" fontId="2" fillId="0" borderId="0" xfId="1" applyFont="1"/>
    <xf numFmtId="43" fontId="3" fillId="0" borderId="0" xfId="1" applyFont="1"/>
    <xf numFmtId="43" fontId="4" fillId="0" borderId="0" xfId="1" applyFont="1"/>
    <xf numFmtId="0" fontId="2" fillId="0" borderId="0" xfId="0" pivotButton="1" applyFont="1"/>
    <xf numFmtId="0" fontId="2" fillId="0" borderId="0" xfId="0" applyFont="1" applyAlignment="1">
      <alignment horizontal="left"/>
    </xf>
    <xf numFmtId="3" fontId="2" fillId="0" borderId="0" xfId="0" applyNumberFormat="1" applyFont="1"/>
    <xf numFmtId="42" fontId="2" fillId="0" borderId="0" xfId="0" applyNumberFormat="1" applyFont="1"/>
    <xf numFmtId="0" fontId="2" fillId="0" borderId="0" xfId="0" applyFont="1" applyAlignment="1">
      <alignment horizontal="center"/>
    </xf>
    <xf numFmtId="0" fontId="6" fillId="0" borderId="0" xfId="0" applyFont="1"/>
    <xf numFmtId="165" fontId="2" fillId="0" borderId="0" xfId="0" applyNumberFormat="1" applyFont="1"/>
    <xf numFmtId="0" fontId="3" fillId="0" borderId="0" xfId="0" applyFont="1" applyAlignment="1">
      <alignment horizontal="center"/>
    </xf>
    <xf numFmtId="44" fontId="2" fillId="0" borderId="0" xfId="2" applyFont="1"/>
    <xf numFmtId="166" fontId="2" fillId="0" borderId="0" xfId="3" applyNumberFormat="1" applyFont="1"/>
    <xf numFmtId="0" fontId="2" fillId="0" borderId="0" xfId="0" quotePrefix="1" applyFont="1" applyAlignment="1">
      <alignment horizontal="center"/>
    </xf>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5" fillId="2" borderId="0" xfId="0" applyFont="1" applyFill="1"/>
    <xf numFmtId="0" fontId="3" fillId="3" borderId="11" xfId="0" applyFont="1" applyFill="1" applyBorder="1" applyAlignment="1">
      <alignment horizontal="center"/>
    </xf>
    <xf numFmtId="0" fontId="3" fillId="3" borderId="12" xfId="0" applyFont="1" applyFill="1" applyBorder="1" applyAlignment="1">
      <alignment horizontal="center"/>
    </xf>
    <xf numFmtId="0" fontId="8" fillId="3" borderId="1"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0" fontId="3" fillId="3" borderId="10" xfId="0" applyFont="1" applyFill="1" applyBorder="1" applyAlignment="1">
      <alignment horizontal="center"/>
    </xf>
    <xf numFmtId="0" fontId="3" fillId="3" borderId="1" xfId="0" applyFont="1" applyFill="1" applyBorder="1" applyAlignment="1">
      <alignment horizontal="center"/>
    </xf>
    <xf numFmtId="44" fontId="2" fillId="3" borderId="11" xfId="2" applyFont="1" applyFill="1" applyBorder="1"/>
    <xf numFmtId="44" fontId="2" fillId="3" borderId="12" xfId="2" applyFont="1" applyFill="1" applyBorder="1"/>
    <xf numFmtId="166" fontId="5" fillId="3" borderId="1" xfId="3" applyNumberFormat="1" applyFont="1" applyFill="1" applyBorder="1"/>
    <xf numFmtId="166" fontId="5" fillId="3" borderId="8" xfId="3" applyNumberFormat="1" applyFont="1" applyFill="1" applyBorder="1"/>
    <xf numFmtId="166" fontId="5" fillId="3" borderId="9" xfId="3" applyNumberFormat="1" applyFont="1" applyFill="1" applyBorder="1"/>
    <xf numFmtId="166" fontId="5" fillId="3" borderId="10" xfId="3" applyNumberFormat="1" applyFont="1" applyFill="1" applyBorder="1"/>
    <xf numFmtId="44" fontId="2" fillId="3" borderId="2" xfId="2" applyFont="1" applyFill="1" applyBorder="1"/>
    <xf numFmtId="44" fontId="2" fillId="3" borderId="3" xfId="2" applyFont="1" applyFill="1" applyBorder="1"/>
    <xf numFmtId="44" fontId="2" fillId="3" borderId="4" xfId="2" applyFont="1" applyFill="1" applyBorder="1"/>
    <xf numFmtId="44" fontId="2" fillId="3" borderId="5" xfId="2" applyFont="1" applyFill="1" applyBorder="1"/>
    <xf numFmtId="44" fontId="2" fillId="3" borderId="6" xfId="2" applyFont="1" applyFill="1" applyBorder="1"/>
    <xf numFmtId="44" fontId="2" fillId="3" borderId="7" xfId="2" applyFont="1" applyFill="1" applyBorder="1"/>
    <xf numFmtId="0" fontId="2" fillId="3" borderId="10" xfId="0" applyFont="1" applyFill="1" applyBorder="1" applyAlignment="1">
      <alignment horizontal="center"/>
    </xf>
    <xf numFmtId="166" fontId="5" fillId="3" borderId="8" xfId="0" applyNumberFormat="1" applyFont="1" applyFill="1" applyBorder="1"/>
    <xf numFmtId="166" fontId="5" fillId="3" borderId="9" xfId="0" applyNumberFormat="1" applyFont="1" applyFill="1" applyBorder="1"/>
    <xf numFmtId="166" fontId="5" fillId="3" borderId="10" xfId="0" applyNumberFormat="1" applyFont="1" applyFill="1" applyBorder="1"/>
    <xf numFmtId="0" fontId="5" fillId="3" borderId="1" xfId="0" applyFont="1" applyFill="1" applyBorder="1"/>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cellXfs>
  <cellStyles count="4">
    <cellStyle name="Comma" xfId="1" builtinId="3"/>
    <cellStyle name="Currency" xfId="2" builtinId="4"/>
    <cellStyle name="Normal" xfId="0" builtinId="0"/>
    <cellStyle name="Percent" xfId="3" builtinId="5"/>
  </cellStyles>
  <dxfs count="23">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32" formatCode="_(&quot;$&quot;* #,##0_);_(&quot;$&quot;* \(#,##0\);_(&quot;$&quot;* &quot;-&quot;_);_(@_)"/>
    </dxf>
    <dxf>
      <font>
        <sz val="9"/>
      </font>
    </dxf>
    <dxf>
      <font>
        <sz val="9"/>
      </font>
    </dxf>
    <dxf>
      <font>
        <sz val="9"/>
      </font>
    </dxf>
    <dxf>
      <font>
        <sz val="9"/>
      </font>
    </dxf>
    <dxf>
      <font>
        <sz val="9"/>
      </font>
    </dxf>
    <dxf>
      <font>
        <sz val="9"/>
      </font>
    </dxf>
    <dxf>
      <font>
        <sz val="9"/>
      </font>
    </dxf>
    <dxf>
      <font>
        <sz val="9"/>
      </font>
    </dxf>
    <dxf>
      <font>
        <sz val="9"/>
      </font>
    </dxf>
    <dxf>
      <font>
        <sz val="9"/>
      </font>
    </dxf>
    <dxf>
      <font>
        <b/>
        <i val="0"/>
        <sz val="11"/>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0AA371A5-10E7-42DA-B145-AC9324BE13F5}">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PMPMs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Dashboard!$B$24:$C$24</c:f>
              <c:strCache>
                <c:ptCount val="2"/>
                <c:pt idx="0">
                  <c:v>2024</c:v>
                </c:pt>
              </c:strCache>
            </c:strRef>
          </c:tx>
          <c:spPr>
            <a:ln w="15875" cap="rnd">
              <a:solidFill>
                <a:schemeClr val="tx1">
                  <a:lumMod val="75000"/>
                  <a:lumOff val="25000"/>
                </a:schemeClr>
              </a:solidFill>
              <a:round/>
            </a:ln>
            <a:effectLst/>
          </c:spPr>
          <c:marker>
            <c:symbol val="circle"/>
            <c:size val="4"/>
            <c:spPr>
              <a:solidFill>
                <a:schemeClr val="tx1">
                  <a:lumMod val="75000"/>
                  <a:lumOff val="25000"/>
                </a:schemeClr>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Dashboard!$D$24:$O$24</c:f>
              <c:numCache>
                <c:formatCode>_("$"* #,##0.00_);_("$"* \(#,##0.00\);_("$"* "-"??_);_(@_)</c:formatCode>
                <c:ptCount val="12"/>
                <c:pt idx="0">
                  <c:v>897.48534106685588</c:v>
                </c:pt>
                <c:pt idx="1">
                  <c:v>885.87087528873087</c:v>
                </c:pt>
                <c:pt idx="2">
                  <c:v>889.19719244039345</c:v>
                </c:pt>
                <c:pt idx="3">
                  <c:v>845.46522000821687</c:v>
                </c:pt>
                <c:pt idx="4">
                  <c:v>843.33472944763946</c:v>
                </c:pt>
                <c:pt idx="5">
                  <c:v>815.5070835206144</c:v>
                </c:pt>
                <c:pt idx="6">
                  <c:v>801.26273990451659</c:v>
                </c:pt>
                <c:pt idx="7">
                  <c:v>793.53745006054805</c:v>
                </c:pt>
                <c:pt idx="8">
                  <c:v>843.60765863221297</c:v>
                </c:pt>
                <c:pt idx="9">
                  <c:v>861.05697891771513</c:v>
                </c:pt>
                <c:pt idx="10">
                  <c:v>940.50403356987454</c:v>
                </c:pt>
                <c:pt idx="11">
                  <c:v>960.31145487747654</c:v>
                </c:pt>
              </c:numCache>
            </c:numRef>
          </c:val>
          <c:smooth val="1"/>
          <c:extLst>
            <c:ext xmlns:c16="http://schemas.microsoft.com/office/drawing/2014/chart" uri="{C3380CC4-5D6E-409C-BE32-E72D297353CC}">
              <c16:uniqueId val="{00000001-F430-4DC9-A017-76C4CE4A74C7}"/>
            </c:ext>
          </c:extLst>
        </c:ser>
        <c:ser>
          <c:idx val="2"/>
          <c:order val="1"/>
          <c:tx>
            <c:strRef>
              <c:f>Dashboard!$B$25:$C$25</c:f>
              <c:strCache>
                <c:ptCount val="2"/>
                <c:pt idx="0">
                  <c:v>2025</c:v>
                </c:pt>
              </c:strCache>
            </c:strRef>
          </c:tx>
          <c:spPr>
            <a:ln w="15875" cap="rnd">
              <a:solidFill>
                <a:schemeClr val="tx1"/>
              </a:solidFill>
              <a:round/>
            </a:ln>
            <a:effectLst/>
          </c:spPr>
          <c:marker>
            <c:symbol val="circle"/>
            <c:size val="4"/>
            <c:spPr>
              <a:solidFill>
                <a:schemeClr val="tx1"/>
              </a:solidFill>
              <a:ln w="9525">
                <a:noFill/>
              </a:ln>
              <a:effectLst/>
            </c:spPr>
          </c:marker>
          <c:cat>
            <c:strRef>
              <c:f>Dashboard!$D$22:$O$22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calcs!$E$24:$P$24</c:f>
              <c:numCache>
                <c:formatCode>_("$"* #,##0.00_);_("$"* \(#,##0.00\);_("$"* "-"??_);_(@_)</c:formatCode>
                <c:ptCount val="12"/>
                <c:pt idx="0">
                  <c:v>937.92434633626749</c:v>
                </c:pt>
                <c:pt idx="1">
                  <c:v>941.40889062413407</c:v>
                </c:pt>
                <c:pt idx="2">
                  <c:v>904.63207513464306</c:v>
                </c:pt>
                <c:pt idx="3">
                  <c:v>895.34065925942889</c:v>
                </c:pt>
                <c:pt idx="4">
                  <c:v>847.35378552287864</c:v>
                </c:pt>
                <c:pt idx="5">
                  <c:v>830.25076864609809</c:v>
                </c:pt>
                <c:pt idx="6">
                  <c:v>884.93945802948053</c:v>
                </c:pt>
                <c:pt idx="7">
                  <c:v>840.81595613153036</c:v>
                </c:pt>
                <c:pt idx="8">
                  <c:v>907.56945919873908</c:v>
                </c:pt>
                <c:pt idx="9">
                  <c:v>#N/A</c:v>
                </c:pt>
                <c:pt idx="10">
                  <c:v>#N/A</c:v>
                </c:pt>
                <c:pt idx="11">
                  <c:v>#N/A</c:v>
                </c:pt>
              </c:numCache>
            </c:numRef>
          </c:val>
          <c:smooth val="1"/>
          <c:extLst>
            <c:ext xmlns:c16="http://schemas.microsoft.com/office/drawing/2014/chart" uri="{C3380CC4-5D6E-409C-BE32-E72D297353CC}">
              <c16:uniqueId val="{00000002-F430-4DC9-A017-76C4CE4A74C7}"/>
            </c:ext>
          </c:extLst>
        </c:ser>
        <c:dLbls>
          <c:showLegendKey val="0"/>
          <c:showVal val="0"/>
          <c:showCatName val="0"/>
          <c:showSerName val="0"/>
          <c:showPercent val="0"/>
          <c:showBubbleSize val="0"/>
        </c:dLbls>
        <c:marker val="1"/>
        <c:smooth val="0"/>
        <c:axId val="1082820143"/>
        <c:axId val="1082816783"/>
      </c:lineChart>
      <c:catAx>
        <c:axId val="1082820143"/>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16783"/>
        <c:crosses val="autoZero"/>
        <c:auto val="1"/>
        <c:lblAlgn val="ctr"/>
        <c:lblOffset val="100"/>
        <c:noMultiLvlLbl val="0"/>
      </c:catAx>
      <c:valAx>
        <c:axId val="1082816783"/>
        <c:scaling>
          <c:orientation val="minMax"/>
        </c:scaling>
        <c:delete val="0"/>
        <c:axPos val="l"/>
        <c:numFmt formatCode="_(&quot;$&quot;* #,##0.00_);_(&quot;$&quot;* \(#,##0.0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2820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1</xdr:colOff>
      <xdr:row>6</xdr:row>
      <xdr:rowOff>9525</xdr:rowOff>
    </xdr:from>
    <xdr:to>
      <xdr:col>22</xdr:col>
      <xdr:colOff>0</xdr:colOff>
      <xdr:row>16</xdr:row>
      <xdr:rowOff>0</xdr:rowOff>
    </xdr:to>
    <xdr:grpSp>
      <xdr:nvGrpSpPr>
        <xdr:cNvPr id="9" name="Group 8">
          <a:extLst>
            <a:ext uri="{FF2B5EF4-FFF2-40B4-BE49-F238E27FC236}">
              <a16:creationId xmlns:a16="http://schemas.microsoft.com/office/drawing/2014/main" id="{29E56BC8-BC43-00FE-C098-9BB3A8881AF0}"/>
            </a:ext>
          </a:extLst>
        </xdr:cNvPr>
        <xdr:cNvGrpSpPr/>
      </xdr:nvGrpSpPr>
      <xdr:grpSpPr>
        <a:xfrm>
          <a:off x="8215924" y="1167179"/>
          <a:ext cx="3140807" cy="1504706"/>
          <a:chOff x="8153401" y="1114425"/>
          <a:chExt cx="3114674" cy="1514475"/>
        </a:xfrm>
      </xdr:grpSpPr>
      <mc:AlternateContent xmlns:mc="http://schemas.openxmlformats.org/markup-compatibility/2006" xmlns:a14="http://schemas.microsoft.com/office/drawing/2010/main">
        <mc:Choice Requires="a14">
          <xdr:graphicFrame macro="">
            <xdr:nvGraphicFramePr>
              <xdr:cNvPr id="2" name="plan_type">
                <a:extLst>
                  <a:ext uri="{FF2B5EF4-FFF2-40B4-BE49-F238E27FC236}">
                    <a16:creationId xmlns:a16="http://schemas.microsoft.com/office/drawing/2014/main" id="{8E5B0F62-84E9-454E-8259-20EA8FDCE337}"/>
                  </a:ext>
                </a:extLst>
              </xdr:cNvPr>
              <xdr:cNvGraphicFramePr/>
            </xdr:nvGraphicFramePr>
            <xdr:xfrm>
              <a:off x="8153401" y="1114425"/>
              <a:ext cx="3114674" cy="78740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8153401" y="1177925"/>
                <a:ext cx="3114674" cy="789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claim_type">
                <a:extLst>
                  <a:ext uri="{FF2B5EF4-FFF2-40B4-BE49-F238E27FC236}">
                    <a16:creationId xmlns:a16="http://schemas.microsoft.com/office/drawing/2014/main" id="{E588EC57-2057-4383-A156-19CFDDA5323F}"/>
                  </a:ext>
                </a:extLst>
              </xdr:cNvPr>
              <xdr:cNvGraphicFramePr/>
            </xdr:nvGraphicFramePr>
            <xdr:xfrm>
              <a:off x="8153401" y="1901825"/>
              <a:ext cx="3114674" cy="727075"/>
            </xdr:xfrm>
            <a:graphic>
              <a:graphicData uri="http://schemas.microsoft.com/office/drawing/2010/slicer">
                <sle:slicer xmlns:sle="http://schemas.microsoft.com/office/drawing/2010/slicer" name="claim_type"/>
              </a:graphicData>
            </a:graphic>
          </xdr:graphicFrame>
        </mc:Choice>
        <mc:Fallback xmlns="">
          <xdr:sp macro="" textlink="">
            <xdr:nvSpPr>
              <xdr:cNvPr id="0" name=""/>
              <xdr:cNvSpPr>
                <a:spLocks noTextEdit="1"/>
              </xdr:cNvSpPr>
            </xdr:nvSpPr>
            <xdr:spPr>
              <a:xfrm>
                <a:off x="8153401" y="1966976"/>
                <a:ext cx="3114674" cy="72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9</xdr:col>
      <xdr:colOff>501047</xdr:colOff>
      <xdr:row>2</xdr:row>
      <xdr:rowOff>38857</xdr:rowOff>
    </xdr:from>
    <xdr:to>
      <xdr:col>13</xdr:col>
      <xdr:colOff>324454</xdr:colOff>
      <xdr:row>2</xdr:row>
      <xdr:rowOff>361950</xdr:rowOff>
    </xdr:to>
    <xdr:pic>
      <xdr:nvPicPr>
        <xdr:cNvPr id="7" name="Picture 6">
          <a:extLst>
            <a:ext uri="{FF2B5EF4-FFF2-40B4-BE49-F238E27FC236}">
              <a16:creationId xmlns:a16="http://schemas.microsoft.com/office/drawing/2014/main" id="{BBB2CE32-56CF-142C-E9FE-B8156EC5E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8747" y="165857"/>
          <a:ext cx="2236407" cy="323093"/>
        </a:xfrm>
        <a:prstGeom prst="rect">
          <a:avLst/>
        </a:prstGeom>
      </xdr:spPr>
    </xdr:pic>
    <xdr:clientData/>
  </xdr:twoCellAnchor>
  <xdr:twoCellAnchor>
    <xdr:from>
      <xdr:col>3</xdr:col>
      <xdr:colOff>0</xdr:colOff>
      <xdr:row>6</xdr:row>
      <xdr:rowOff>0</xdr:rowOff>
    </xdr:from>
    <xdr:to>
      <xdr:col>15</xdr:col>
      <xdr:colOff>19049</xdr:colOff>
      <xdr:row>19</xdr:row>
      <xdr:rowOff>152399</xdr:rowOff>
    </xdr:to>
    <xdr:graphicFrame macro="">
      <xdr:nvGraphicFramePr>
        <xdr:cNvPr id="8" name="Chart 7">
          <a:extLst>
            <a:ext uri="{FF2B5EF4-FFF2-40B4-BE49-F238E27FC236}">
              <a16:creationId xmlns:a16="http://schemas.microsoft.com/office/drawing/2014/main" id="{C949CC98-8058-19AE-64EF-715F59E68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stan" refreshedDate="46079.67265" createdVersion="8" refreshedVersion="8" minRefreshableVersion="3" recordCount="138" xr:uid="{F8FC68FD-7C5C-4D5D-857F-63A60DAA2DDC}">
  <cacheSource type="worksheet">
    <worksheetSource ref="A6:F144" sheet="combined data"/>
  </cacheSource>
  <cacheFields count="6">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plan_type" numFmtId="0">
      <sharedItems count="2">
        <s v="HMO"/>
        <s v="PPO"/>
      </sharedItems>
    </cacheField>
    <cacheField name="claim_type" numFmtId="0">
      <sharedItems containsBlank="1" count="3">
        <m/>
        <s v="IP"/>
        <s v="Non-IP"/>
      </sharedItems>
    </cacheField>
    <cacheField name="member_months" numFmtId="0">
      <sharedItems containsString="0" containsBlank="1" containsNumber="1" containsInteger="1" minValue="35925" maxValue="63406"/>
    </cacheField>
    <cacheField name="ultimate_incurred" numFmtId="164">
      <sharedItems containsString="0" containsBlank="1" containsNumber="1" minValue="8105182.9268292682" maxValue="42985090.802085087"/>
    </cacheField>
  </cacheFields>
  <extLst>
    <ext xmlns:x14="http://schemas.microsoft.com/office/spreadsheetml/2009/9/main" uri="{725AE2AE-9491-48be-B2B4-4EB974FC3084}">
      <x14:pivotCacheDefinition pivotCacheId="1780309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x v="0"/>
    <x v="0"/>
    <x v="0"/>
    <x v="0"/>
    <n v="61261"/>
    <m/>
  </r>
  <r>
    <x v="0"/>
    <x v="0"/>
    <x v="1"/>
    <x v="0"/>
    <n v="35978"/>
    <m/>
  </r>
  <r>
    <x v="0"/>
    <x v="1"/>
    <x v="0"/>
    <x v="0"/>
    <n v="61640"/>
    <m/>
  </r>
  <r>
    <x v="0"/>
    <x v="1"/>
    <x v="1"/>
    <x v="0"/>
    <n v="36202"/>
    <m/>
  </r>
  <r>
    <x v="0"/>
    <x v="2"/>
    <x v="0"/>
    <x v="0"/>
    <n v="61170"/>
    <m/>
  </r>
  <r>
    <x v="0"/>
    <x v="2"/>
    <x v="1"/>
    <x v="0"/>
    <n v="35925"/>
    <m/>
  </r>
  <r>
    <x v="0"/>
    <x v="3"/>
    <x v="0"/>
    <x v="0"/>
    <n v="61337"/>
    <m/>
  </r>
  <r>
    <x v="0"/>
    <x v="3"/>
    <x v="1"/>
    <x v="0"/>
    <n v="36023"/>
    <m/>
  </r>
  <r>
    <x v="0"/>
    <x v="4"/>
    <x v="0"/>
    <x v="0"/>
    <n v="61567"/>
    <m/>
  </r>
  <r>
    <x v="0"/>
    <x v="4"/>
    <x v="1"/>
    <x v="0"/>
    <n v="36159"/>
    <m/>
  </r>
  <r>
    <x v="0"/>
    <x v="5"/>
    <x v="0"/>
    <x v="0"/>
    <n v="61672"/>
    <m/>
  </r>
  <r>
    <x v="0"/>
    <x v="5"/>
    <x v="1"/>
    <x v="0"/>
    <n v="36220"/>
    <m/>
  </r>
  <r>
    <x v="0"/>
    <x v="6"/>
    <x v="0"/>
    <x v="0"/>
    <n v="61889"/>
    <m/>
  </r>
  <r>
    <x v="0"/>
    <x v="6"/>
    <x v="1"/>
    <x v="0"/>
    <n v="36348"/>
    <m/>
  </r>
  <r>
    <x v="0"/>
    <x v="7"/>
    <x v="0"/>
    <x v="0"/>
    <n v="61909"/>
    <m/>
  </r>
  <r>
    <x v="0"/>
    <x v="7"/>
    <x v="1"/>
    <x v="0"/>
    <n v="36360"/>
    <m/>
  </r>
  <r>
    <x v="0"/>
    <x v="8"/>
    <x v="0"/>
    <x v="0"/>
    <n v="62024"/>
    <m/>
  </r>
  <r>
    <x v="0"/>
    <x v="8"/>
    <x v="1"/>
    <x v="0"/>
    <n v="36427"/>
    <m/>
  </r>
  <r>
    <x v="0"/>
    <x v="9"/>
    <x v="0"/>
    <x v="0"/>
    <n v="61947"/>
    <m/>
  </r>
  <r>
    <x v="0"/>
    <x v="9"/>
    <x v="1"/>
    <x v="0"/>
    <n v="36382"/>
    <m/>
  </r>
  <r>
    <x v="0"/>
    <x v="10"/>
    <x v="0"/>
    <x v="0"/>
    <n v="61968"/>
    <m/>
  </r>
  <r>
    <x v="0"/>
    <x v="10"/>
    <x v="1"/>
    <x v="0"/>
    <n v="36394"/>
    <m/>
  </r>
  <r>
    <x v="0"/>
    <x v="11"/>
    <x v="0"/>
    <x v="0"/>
    <n v="61754"/>
    <m/>
  </r>
  <r>
    <x v="0"/>
    <x v="11"/>
    <x v="1"/>
    <x v="0"/>
    <n v="36268"/>
    <m/>
  </r>
  <r>
    <x v="1"/>
    <x v="0"/>
    <x v="0"/>
    <x v="0"/>
    <n v="62695"/>
    <m/>
  </r>
  <r>
    <x v="1"/>
    <x v="0"/>
    <x v="1"/>
    <x v="0"/>
    <n v="36821"/>
    <m/>
  </r>
  <r>
    <x v="1"/>
    <x v="1"/>
    <x v="0"/>
    <x v="0"/>
    <n v="62606"/>
    <m/>
  </r>
  <r>
    <x v="1"/>
    <x v="1"/>
    <x v="1"/>
    <x v="0"/>
    <n v="36769"/>
    <m/>
  </r>
  <r>
    <x v="1"/>
    <x v="2"/>
    <x v="0"/>
    <x v="0"/>
    <n v="63014"/>
    <m/>
  </r>
  <r>
    <x v="1"/>
    <x v="2"/>
    <x v="1"/>
    <x v="0"/>
    <n v="37008"/>
    <m/>
  </r>
  <r>
    <x v="1"/>
    <x v="3"/>
    <x v="0"/>
    <x v="0"/>
    <n v="62742"/>
    <m/>
  </r>
  <r>
    <x v="1"/>
    <x v="3"/>
    <x v="1"/>
    <x v="0"/>
    <n v="36848"/>
    <m/>
  </r>
  <r>
    <x v="1"/>
    <x v="4"/>
    <x v="0"/>
    <x v="0"/>
    <n v="62810"/>
    <m/>
  </r>
  <r>
    <x v="1"/>
    <x v="4"/>
    <x v="1"/>
    <x v="0"/>
    <n v="36888"/>
    <m/>
  </r>
  <r>
    <x v="1"/>
    <x v="5"/>
    <x v="0"/>
    <x v="0"/>
    <n v="62982"/>
    <m/>
  </r>
  <r>
    <x v="1"/>
    <x v="5"/>
    <x v="1"/>
    <x v="0"/>
    <n v="36989"/>
    <m/>
  </r>
  <r>
    <x v="1"/>
    <x v="6"/>
    <x v="0"/>
    <x v="0"/>
    <n v="63030"/>
    <m/>
  </r>
  <r>
    <x v="1"/>
    <x v="6"/>
    <x v="1"/>
    <x v="0"/>
    <n v="37018"/>
    <m/>
  </r>
  <r>
    <x v="1"/>
    <x v="7"/>
    <x v="0"/>
    <x v="0"/>
    <n v="63406"/>
    <m/>
  </r>
  <r>
    <x v="1"/>
    <x v="7"/>
    <x v="1"/>
    <x v="0"/>
    <n v="37238"/>
    <m/>
  </r>
  <r>
    <x v="1"/>
    <x v="8"/>
    <x v="0"/>
    <x v="0"/>
    <n v="62970"/>
    <m/>
  </r>
  <r>
    <x v="1"/>
    <x v="8"/>
    <x v="1"/>
    <x v="0"/>
    <n v="36983"/>
    <m/>
  </r>
  <r>
    <x v="1"/>
    <x v="9"/>
    <x v="0"/>
    <x v="0"/>
    <n v="62931"/>
    <m/>
  </r>
  <r>
    <x v="1"/>
    <x v="9"/>
    <x v="1"/>
    <x v="0"/>
    <n v="36960"/>
    <m/>
  </r>
  <r>
    <x v="1"/>
    <x v="10"/>
    <x v="0"/>
    <x v="0"/>
    <n v="63238"/>
    <m/>
  </r>
  <r>
    <x v="1"/>
    <x v="10"/>
    <x v="1"/>
    <x v="0"/>
    <n v="37139"/>
    <m/>
  </r>
  <r>
    <x v="0"/>
    <x v="0"/>
    <x v="0"/>
    <x v="1"/>
    <m/>
    <n v="20351216.440000001"/>
  </r>
  <r>
    <x v="0"/>
    <x v="0"/>
    <x v="0"/>
    <x v="2"/>
    <m/>
    <n v="30526824.66"/>
  </r>
  <r>
    <x v="0"/>
    <x v="0"/>
    <x v="1"/>
    <x v="1"/>
    <m/>
    <n v="14557014.390000001"/>
  </r>
  <r>
    <x v="0"/>
    <x v="0"/>
    <x v="1"/>
    <x v="2"/>
    <m/>
    <n v="21835521.59"/>
  </r>
  <r>
    <x v="0"/>
    <x v="1"/>
    <x v="0"/>
    <x v="1"/>
    <m/>
    <n v="20212088.079999998"/>
  </r>
  <r>
    <x v="0"/>
    <x v="1"/>
    <x v="0"/>
    <x v="2"/>
    <m/>
    <n v="30318132.120000001"/>
  </r>
  <r>
    <x v="0"/>
    <x v="1"/>
    <x v="1"/>
    <x v="1"/>
    <m/>
    <n v="14458063.189999999"/>
  </r>
  <r>
    <x v="0"/>
    <x v="1"/>
    <x v="1"/>
    <x v="2"/>
    <m/>
    <n v="21687094.789999999"/>
  </r>
  <r>
    <x v="0"/>
    <x v="2"/>
    <x v="0"/>
    <x v="1"/>
    <m/>
    <n v="20133312.699999999"/>
  </r>
  <r>
    <x v="0"/>
    <x v="2"/>
    <x v="0"/>
    <x v="2"/>
    <m/>
    <n v="30199969.050000001"/>
  </r>
  <r>
    <x v="0"/>
    <x v="2"/>
    <x v="1"/>
    <x v="1"/>
    <m/>
    <n v="14401327.859999999"/>
  </r>
  <r>
    <x v="0"/>
    <x v="2"/>
    <x v="1"/>
    <x v="2"/>
    <m/>
    <n v="21601991.789999999"/>
  </r>
  <r>
    <x v="0"/>
    <x v="3"/>
    <x v="0"/>
    <x v="1"/>
    <m/>
    <n v="19195392.530000001"/>
  </r>
  <r>
    <x v="0"/>
    <x v="3"/>
    <x v="0"/>
    <x v="2"/>
    <m/>
    <n v="28793088.800000001"/>
  </r>
  <r>
    <x v="0"/>
    <x v="3"/>
    <x v="1"/>
    <x v="1"/>
    <m/>
    <n v="13730405"/>
  </r>
  <r>
    <x v="0"/>
    <x v="3"/>
    <x v="1"/>
    <x v="2"/>
    <m/>
    <n v="20595607.489999998"/>
  </r>
  <r>
    <x v="0"/>
    <x v="4"/>
    <x v="0"/>
    <x v="1"/>
    <m/>
    <n v="19218796.010000002"/>
  </r>
  <r>
    <x v="0"/>
    <x v="4"/>
    <x v="0"/>
    <x v="2"/>
    <m/>
    <n v="28828194.010000002"/>
  </r>
  <r>
    <x v="0"/>
    <x v="4"/>
    <x v="1"/>
    <x v="1"/>
    <m/>
    <n v="13747495.9"/>
  </r>
  <r>
    <x v="0"/>
    <x v="4"/>
    <x v="1"/>
    <x v="2"/>
    <m/>
    <n v="20621243.850000001"/>
  </r>
  <r>
    <x v="0"/>
    <x v="5"/>
    <x v="0"/>
    <x v="1"/>
    <m/>
    <n v="18616341.899999999"/>
  </r>
  <r>
    <x v="0"/>
    <x v="5"/>
    <x v="0"/>
    <x v="2"/>
    <m/>
    <n v="27924512.84"/>
  </r>
  <r>
    <x v="0"/>
    <x v="5"/>
    <x v="1"/>
    <x v="1"/>
    <m/>
    <n v="13316305.869999999"/>
  </r>
  <r>
    <x v="0"/>
    <x v="5"/>
    <x v="1"/>
    <x v="2"/>
    <m/>
    <n v="19974458.809999999"/>
  </r>
  <r>
    <x v="0"/>
    <x v="6"/>
    <x v="0"/>
    <x v="1"/>
    <m/>
    <n v="18355519.350000001"/>
  </r>
  <r>
    <x v="0"/>
    <x v="6"/>
    <x v="0"/>
    <x v="2"/>
    <m/>
    <n v="27533279.030000001"/>
  </r>
  <r>
    <x v="0"/>
    <x v="6"/>
    <x v="1"/>
    <x v="1"/>
    <m/>
    <n v="13129939.76"/>
  </r>
  <r>
    <x v="0"/>
    <x v="6"/>
    <x v="1"/>
    <x v="2"/>
    <m/>
    <n v="19694909.640000001"/>
  </r>
  <r>
    <x v="0"/>
    <x v="7"/>
    <x v="0"/>
    <x v="1"/>
    <m/>
    <n v="18184415.149999999"/>
  </r>
  <r>
    <x v="0"/>
    <x v="7"/>
    <x v="0"/>
    <x v="2"/>
    <m/>
    <n v="27276622.73"/>
  </r>
  <r>
    <x v="0"/>
    <x v="7"/>
    <x v="1"/>
    <x v="1"/>
    <m/>
    <n v="13007637.52"/>
  </r>
  <r>
    <x v="0"/>
    <x v="7"/>
    <x v="1"/>
    <x v="2"/>
    <m/>
    <n v="19511456.280000001"/>
  </r>
  <r>
    <x v="0"/>
    <x v="8"/>
    <x v="0"/>
    <x v="1"/>
    <m/>
    <n v="19367729.43"/>
  </r>
  <r>
    <x v="0"/>
    <x v="8"/>
    <x v="0"/>
    <x v="2"/>
    <m/>
    <n v="29051594.140000001"/>
  </r>
  <r>
    <x v="0"/>
    <x v="8"/>
    <x v="1"/>
    <x v="1"/>
    <m/>
    <n v="13853877.609999999"/>
  </r>
  <r>
    <x v="0"/>
    <x v="8"/>
    <x v="1"/>
    <x v="2"/>
    <m/>
    <n v="20780816.420000002"/>
  </r>
  <r>
    <x v="0"/>
    <x v="9"/>
    <x v="0"/>
    <x v="1"/>
    <m/>
    <n v="19743787.57"/>
  </r>
  <r>
    <x v="0"/>
    <x v="9"/>
    <x v="0"/>
    <x v="2"/>
    <m/>
    <n v="29615681.359999999"/>
  </r>
  <r>
    <x v="0"/>
    <x v="9"/>
    <x v="1"/>
    <x v="1"/>
    <m/>
    <n v="14122961.1"/>
  </r>
  <r>
    <x v="0"/>
    <x v="9"/>
    <x v="1"/>
    <x v="2"/>
    <m/>
    <n v="21184441.649999999"/>
  </r>
  <r>
    <x v="0"/>
    <x v="10"/>
    <x v="0"/>
    <x v="1"/>
    <m/>
    <n v="21572805.550000001"/>
  </r>
  <r>
    <x v="0"/>
    <x v="10"/>
    <x v="0"/>
    <x v="2"/>
    <m/>
    <n v="32359208.32"/>
  </r>
  <r>
    <x v="0"/>
    <x v="10"/>
    <x v="1"/>
    <x v="1"/>
    <m/>
    <n v="15431137.550000001"/>
  </r>
  <r>
    <x v="0"/>
    <x v="10"/>
    <x v="1"/>
    <x v="2"/>
    <m/>
    <n v="23146706.329999998"/>
  </r>
  <r>
    <x v="0"/>
    <x v="11"/>
    <x v="0"/>
    <x v="1"/>
    <m/>
    <n v="21951078.760000002"/>
  </r>
  <r>
    <x v="0"/>
    <x v="11"/>
    <x v="0"/>
    <x v="2"/>
    <m/>
    <n v="32926618.140000001"/>
  </r>
  <r>
    <x v="0"/>
    <x v="11"/>
    <x v="1"/>
    <x v="1"/>
    <m/>
    <n v="15701581.01"/>
  </r>
  <r>
    <x v="0"/>
    <x v="11"/>
    <x v="1"/>
    <x v="2"/>
    <m/>
    <n v="23552371.52"/>
  </r>
  <r>
    <x v="1"/>
    <x v="0"/>
    <x v="0"/>
    <x v="1"/>
    <m/>
    <n v="21766028.109999999"/>
  </r>
  <r>
    <x v="1"/>
    <x v="0"/>
    <x v="0"/>
    <x v="2"/>
    <m/>
    <n v="32649042.170000002"/>
  </r>
  <r>
    <x v="1"/>
    <x v="0"/>
    <x v="1"/>
    <x v="1"/>
    <m/>
    <n v="15569363.59"/>
  </r>
  <r>
    <x v="1"/>
    <x v="0"/>
    <x v="1"/>
    <x v="2"/>
    <m/>
    <n v="23354045.379999999"/>
  </r>
  <r>
    <x v="1"/>
    <x v="1"/>
    <x v="0"/>
    <x v="1"/>
    <m/>
    <n v="21798874.714868598"/>
  </r>
  <r>
    <x v="1"/>
    <x v="1"/>
    <x v="0"/>
    <x v="2"/>
    <m/>
    <n v="32746079.332075816"/>
  </r>
  <r>
    <x v="1"/>
    <x v="1"/>
    <x v="1"/>
    <x v="1"/>
    <m/>
    <n v="15591037.737846004"/>
  </r>
  <r>
    <x v="1"/>
    <x v="1"/>
    <x v="1"/>
    <x v="2"/>
    <m/>
    <n v="23416516.720982905"/>
  </r>
  <r>
    <x v="1"/>
    <x v="2"/>
    <x v="0"/>
    <x v="1"/>
    <m/>
    <n v="21122665.289987847"/>
  </r>
  <r>
    <x v="1"/>
    <x v="2"/>
    <x v="0"/>
    <x v="2"/>
    <m/>
    <n v="31703327.482112266"/>
  </r>
  <r>
    <x v="1"/>
    <x v="2"/>
    <x v="1"/>
    <x v="1"/>
    <m/>
    <n v="15129394.569087185"/>
  </r>
  <r>
    <x v="1"/>
    <x v="2"/>
    <x v="1"/>
    <x v="2"/>
    <m/>
    <n v="22527722.077929981"/>
  </r>
  <r>
    <x v="1"/>
    <x v="3"/>
    <x v="0"/>
    <x v="1"/>
    <m/>
    <n v="19509070.231032945"/>
  </r>
  <r>
    <x v="1"/>
    <x v="3"/>
    <x v="0"/>
    <x v="2"/>
    <m/>
    <n v="31486936.4527057"/>
  </r>
  <r>
    <x v="1"/>
    <x v="3"/>
    <x v="1"/>
    <x v="1"/>
    <m/>
    <n v="15209069.434194408"/>
  </r>
  <r>
    <x v="1"/>
    <x v="3"/>
    <x v="1"/>
    <x v="2"/>
    <m/>
    <n v="22961900.137713462"/>
  </r>
  <r>
    <x v="1"/>
    <x v="4"/>
    <x v="0"/>
    <x v="1"/>
    <m/>
    <n v="19731307.80871043"/>
  </r>
  <r>
    <x v="1"/>
    <x v="4"/>
    <x v="0"/>
    <x v="2"/>
    <m/>
    <n v="29807016.255537212"/>
  </r>
  <r>
    <x v="1"/>
    <x v="4"/>
    <x v="1"/>
    <x v="1"/>
    <m/>
    <n v="13532718.34297258"/>
  </r>
  <r>
    <x v="1"/>
    <x v="4"/>
    <x v="1"/>
    <x v="2"/>
    <m/>
    <n v="21408435.301839739"/>
  </r>
  <r>
    <x v="1"/>
    <x v="5"/>
    <x v="0"/>
    <x v="1"/>
    <m/>
    <n v="18971875.803121988"/>
  </r>
  <r>
    <x v="1"/>
    <x v="5"/>
    <x v="0"/>
    <x v="2"/>
    <m/>
    <n v="29880513.281801075"/>
  </r>
  <r>
    <x v="1"/>
    <x v="5"/>
    <x v="1"/>
    <x v="1"/>
    <m/>
    <n v="13017476.163489785"/>
  </r>
  <r>
    <x v="1"/>
    <x v="5"/>
    <x v="1"/>
    <x v="2"/>
    <m/>
    <n v="21131134.343906224"/>
  </r>
  <r>
    <x v="1"/>
    <x v="6"/>
    <x v="0"/>
    <x v="1"/>
    <m/>
    <n v="21168661.131145503"/>
  </r>
  <r>
    <x v="1"/>
    <x v="6"/>
    <x v="0"/>
    <x v="2"/>
    <m/>
    <n v="29396277.858748287"/>
  </r>
  <r>
    <x v="1"/>
    <x v="6"/>
    <x v="1"/>
    <x v="1"/>
    <m/>
    <n v="15915071.790443083"/>
  </r>
  <r>
    <x v="1"/>
    <x v="6"/>
    <x v="1"/>
    <x v="2"/>
    <m/>
    <n v="22056412.11659658"/>
  </r>
  <r>
    <x v="1"/>
    <x v="7"/>
    <x v="0"/>
    <x v="1"/>
    <m/>
    <n v="20176678.644636773"/>
  </r>
  <r>
    <x v="1"/>
    <x v="7"/>
    <x v="0"/>
    <x v="2"/>
    <m/>
    <n v="30674483.566566106"/>
  </r>
  <r>
    <x v="1"/>
    <x v="7"/>
    <x v="1"/>
    <x v="1"/>
    <m/>
    <n v="12082169.287135275"/>
  </r>
  <r>
    <x v="1"/>
    <x v="7"/>
    <x v="1"/>
    <x v="2"/>
    <m/>
    <n v="21689749.590563599"/>
  </r>
  <r>
    <x v="1"/>
    <x v="8"/>
    <x v="0"/>
    <x v="1"/>
    <m/>
    <n v="19801779.363067426"/>
  </r>
  <r>
    <x v="1"/>
    <x v="8"/>
    <x v="0"/>
    <x v="2"/>
    <m/>
    <n v="31808075.262053523"/>
  </r>
  <r>
    <x v="1"/>
    <x v="8"/>
    <x v="1"/>
    <x v="1"/>
    <m/>
    <n v="15083603.061447626"/>
  </r>
  <r>
    <x v="1"/>
    <x v="8"/>
    <x v="1"/>
    <x v="2"/>
    <m/>
    <n v="24020832.468722995"/>
  </r>
  <r>
    <x v="1"/>
    <x v="9"/>
    <x v="0"/>
    <x v="1"/>
    <m/>
    <n v="25996528.471594661"/>
  </r>
  <r>
    <x v="1"/>
    <x v="9"/>
    <x v="0"/>
    <x v="2"/>
    <m/>
    <n v="32789801.162830435"/>
  </r>
  <r>
    <x v="1"/>
    <x v="9"/>
    <x v="1"/>
    <x v="1"/>
    <m/>
    <n v="21798078.499254756"/>
  </r>
  <r>
    <x v="1"/>
    <x v="9"/>
    <x v="1"/>
    <x v="2"/>
    <m/>
    <n v="25589902.521463569"/>
  </r>
  <r>
    <x v="1"/>
    <x v="10"/>
    <x v="0"/>
    <x v="1"/>
    <m/>
    <n v="25624157.022569109"/>
  </r>
  <r>
    <x v="1"/>
    <x v="10"/>
    <x v="0"/>
    <x v="2"/>
    <m/>
    <n v="25750374.68319748"/>
  </r>
  <r>
    <x v="1"/>
    <x v="10"/>
    <x v="1"/>
    <x v="1"/>
    <m/>
    <n v="8105182.9268292682"/>
  </r>
  <r>
    <x v="1"/>
    <x v="10"/>
    <x v="1"/>
    <x v="2"/>
    <m/>
    <n v="42985090.8020850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82FD19-0E4D-4639-8982-E644F9C1E165}" name="mbr_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P6"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pivotField dataField="1" showAll="0"/>
    <pivotField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member_months" fld="4" baseField="0" baseItem="0" numFmtId="3"/>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C327D9-D133-413B-830A-0AE969EC700D}" name="clms_pivo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0:P24" firstHeaderRow="1" firstDataRow="2" firstDataCol="1"/>
  <pivotFields count="6">
    <pivotField axis="axisRow" showAll="0">
      <items count="3">
        <item x="0"/>
        <item x="1"/>
        <item t="default"/>
      </items>
    </pivotField>
    <pivotField axis="axisCol" showAll="0">
      <items count="13">
        <item x="0"/>
        <item x="1"/>
        <item x="2"/>
        <item x="3"/>
        <item x="4"/>
        <item x="5"/>
        <item x="6"/>
        <item x="7"/>
        <item x="8"/>
        <item x="9"/>
        <item x="10"/>
        <item x="11"/>
        <item t="default"/>
      </items>
    </pivotField>
    <pivotField showAll="0">
      <items count="3">
        <item x="0"/>
        <item x="1"/>
        <item t="default"/>
      </items>
    </pivotField>
    <pivotField showAll="0">
      <items count="4">
        <item x="1"/>
        <item x="2"/>
        <item x="0"/>
        <item t="default"/>
      </items>
    </pivotField>
    <pivotField showAll="0"/>
    <pivotField dataField="1" showAll="0"/>
  </pivotFields>
  <rowFields count="1">
    <field x="0"/>
  </rowFields>
  <rowItems count="3">
    <i>
      <x/>
    </i>
    <i>
      <x v="1"/>
    </i>
    <i t="grand">
      <x/>
    </i>
  </rowItems>
  <colFields count="1">
    <field x="1"/>
  </colFields>
  <colItems count="13">
    <i>
      <x/>
    </i>
    <i>
      <x v="1"/>
    </i>
    <i>
      <x v="2"/>
    </i>
    <i>
      <x v="3"/>
    </i>
    <i>
      <x v="4"/>
    </i>
    <i>
      <x v="5"/>
    </i>
    <i>
      <x v="6"/>
    </i>
    <i>
      <x v="7"/>
    </i>
    <i>
      <x v="8"/>
    </i>
    <i>
      <x v="9"/>
    </i>
    <i>
      <x v="10"/>
    </i>
    <i>
      <x v="11"/>
    </i>
    <i t="grand">
      <x/>
    </i>
  </colItems>
  <dataFields count="1">
    <dataField name="Sum of ultimate_incurred" fld="5" baseField="0" baseItem="1" numFmtId="42"/>
  </dataFields>
  <formats count="11">
    <format dxfId="20">
      <pivotArea type="all" dataOnly="0" outline="0" fieldPosition="0"/>
    </format>
    <format dxfId="19">
      <pivotArea outline="0" collapsedLevelsAreSubtotals="1" fieldPosition="0"/>
    </format>
    <format dxfId="18">
      <pivotArea type="origin" dataOnly="0" labelOnly="1" outline="0" fieldPosition="0"/>
    </format>
    <format dxfId="17">
      <pivotArea field="1" type="button" dataOnly="0" labelOnly="1" outline="0" axis="axisCol" fieldPosition="0"/>
    </format>
    <format dxfId="16">
      <pivotArea type="topRight" dataOnly="0" labelOnly="1" outline="0"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3F678C43-BFFB-44B5-96F0-B9AD54E27EC3}" sourceName="plan_type">
  <pivotTables>
    <pivotTable tabId="6" name="clms_pivot"/>
    <pivotTable tabId="6" name="mbr_pivot"/>
  </pivotTables>
  <data>
    <tabular pivotCacheId="1780309535">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type" xr10:uid="{E1368F9E-7DA5-4410-952A-3FA20C11757A}" sourceName="claim_type">
  <pivotTables>
    <pivotTable tabId="6" name="clms_pivot"/>
  </pivotTables>
  <data>
    <tabular pivotCacheId="1780309535">
      <items count="3">
        <i x="1" s="1"/>
        <i x="2"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_type" xr10:uid="{DB079DC7-4484-40D1-BF12-5CE5E63DF6F4}" cache="Slicer_plan_type" caption="Plan Type" columnCount="2" style="SlicerStyleDark4 2" rowHeight="251883"/>
  <slicer name="claim_type" xr10:uid="{81195BA4-58D7-4161-BB3E-568BBA4F777E}" cache="Slicer_claim_type" caption="Claim Type" columnCount="2" rowHeight="251883"/>
</slicers>
</file>

<file path=xl/theme/theme1.xml><?xml version="1.0" encoding="utf-8"?>
<a:theme xmlns:a="http://schemas.openxmlformats.org/drawingml/2006/main" name="PAI">
  <a:themeElements>
    <a:clrScheme name="PAI">
      <a:dk1>
        <a:srgbClr val="001A23"/>
      </a:dk1>
      <a:lt1>
        <a:sysClr val="window" lastClr="FFFFFF"/>
      </a:lt1>
      <a:dk2>
        <a:srgbClr val="4B4F52"/>
      </a:dk2>
      <a:lt2>
        <a:srgbClr val="E6EAEA"/>
      </a:lt2>
      <a:accent1>
        <a:srgbClr val="2AA198"/>
      </a:accent1>
      <a:accent2>
        <a:srgbClr val="258B84"/>
      </a:accent2>
      <a:accent3>
        <a:srgbClr val="0B7C92"/>
      </a:accent3>
      <a:accent4>
        <a:srgbClr val="04272D"/>
      </a:accent4>
      <a:accent5>
        <a:srgbClr val="FDB933"/>
      </a:accent5>
      <a:accent6>
        <a:srgbClr val="8E6FB1"/>
      </a:accent6>
      <a:hlink>
        <a:srgbClr val="0B7C92"/>
      </a:hlink>
      <a:folHlink>
        <a:srgbClr val="4B4F5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PAI" id="{D7353FEE-A156-4DBB-892B-44ABB77D1DFB}" vid="{29A4E482-EDD3-4B26-A9A1-2D237EAF1E8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DAD9-F157-440F-8B5C-833680762D14}">
  <dimension ref="A2:C11"/>
  <sheetViews>
    <sheetView workbookViewId="0">
      <selection activeCell="B11" sqref="B11"/>
    </sheetView>
  </sheetViews>
  <sheetFormatPr defaultRowHeight="12" x14ac:dyDescent="0.3"/>
  <cols>
    <col min="1" max="1" width="13.453125" style="1" customWidth="1"/>
    <col min="2" max="16384" width="8.7265625" style="1"/>
  </cols>
  <sheetData>
    <row r="2" spans="1:3" x14ac:dyDescent="0.3">
      <c r="A2" s="7" t="s">
        <v>49</v>
      </c>
    </row>
    <row r="4" spans="1:3" x14ac:dyDescent="0.3">
      <c r="A4" s="21" t="s">
        <v>32</v>
      </c>
    </row>
    <row r="5" spans="1:3" x14ac:dyDescent="0.3">
      <c r="A5" s="4" t="s">
        <v>34</v>
      </c>
      <c r="B5" s="11">
        <v>45991</v>
      </c>
      <c r="C5" s="10" t="s">
        <v>11</v>
      </c>
    </row>
    <row r="6" spans="1:3" x14ac:dyDescent="0.3">
      <c r="A6" s="4" t="s">
        <v>31</v>
      </c>
      <c r="B6" s="1">
        <f>YEAR(close_date)</f>
        <v>2025</v>
      </c>
    </row>
    <row r="7" spans="1:3" x14ac:dyDescent="0.3">
      <c r="A7" s="4" t="s">
        <v>30</v>
      </c>
      <c r="B7" s="1">
        <f>MONTH(close_date)</f>
        <v>11</v>
      </c>
    </row>
    <row r="9" spans="1:3" x14ac:dyDescent="0.3">
      <c r="A9" s="4" t="s">
        <v>33</v>
      </c>
      <c r="B9" s="12">
        <f>DATE(YEAR(close_date),MONTH(close_date)-1,0)</f>
        <v>45930</v>
      </c>
    </row>
    <row r="10" spans="1:3" x14ac:dyDescent="0.3">
      <c r="A10" s="4" t="s">
        <v>48</v>
      </c>
      <c r="B10" s="1">
        <f>YEAR(incurred_date)</f>
        <v>2025</v>
      </c>
    </row>
    <row r="11" spans="1:3" x14ac:dyDescent="0.3">
      <c r="A11" s="4" t="s">
        <v>47</v>
      </c>
      <c r="B11" s="1">
        <f>MONTH(incurred_date)</f>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2C1E-8667-4EE7-9D36-1D0FB65BDDED}">
  <dimension ref="A1:J155"/>
  <sheetViews>
    <sheetView zoomScaleNormal="100" workbookViewId="0">
      <pane ySplit="6" topLeftCell="A7" activePane="bottomLeft" state="frozen"/>
      <selection pane="bottomLeft"/>
    </sheetView>
  </sheetViews>
  <sheetFormatPr defaultRowHeight="12" customHeight="1" x14ac:dyDescent="0.3"/>
  <cols>
    <col min="1" max="4" width="8.7265625" style="1"/>
    <col min="5" max="5" width="8.7265625" style="13"/>
    <col min="6" max="16384" width="8.7265625" style="1"/>
  </cols>
  <sheetData>
    <row r="1" spans="1:10" ht="12" customHeight="1" x14ac:dyDescent="0.3">
      <c r="A1" s="1" t="s">
        <v>204</v>
      </c>
    </row>
    <row r="6" spans="1:10" ht="12" customHeight="1" x14ac:dyDescent="0.3">
      <c r="A6" s="4" t="s">
        <v>1</v>
      </c>
      <c r="B6" s="4" t="s">
        <v>24</v>
      </c>
      <c r="C6" s="4" t="s">
        <v>14</v>
      </c>
      <c r="D6" s="4" t="s">
        <v>17</v>
      </c>
      <c r="E6" s="14" t="s">
        <v>16</v>
      </c>
    </row>
    <row r="7" spans="1:10" ht="12" customHeight="1" x14ac:dyDescent="0.3">
      <c r="A7" s="7" t="s">
        <v>3</v>
      </c>
      <c r="B7" s="7" t="s">
        <v>25</v>
      </c>
      <c r="C7" s="7">
        <v>0</v>
      </c>
      <c r="D7" s="7" t="s">
        <v>60</v>
      </c>
      <c r="E7" s="15">
        <v>2.6009000000000001E-2</v>
      </c>
    </row>
    <row r="8" spans="1:10" ht="12" customHeight="1" x14ac:dyDescent="0.3">
      <c r="A8" s="7" t="s">
        <v>3</v>
      </c>
      <c r="B8" s="7" t="s">
        <v>25</v>
      </c>
      <c r="C8" s="7">
        <v>1</v>
      </c>
      <c r="D8" s="7" t="s">
        <v>61</v>
      </c>
      <c r="E8" s="15">
        <v>0.37734099999999998</v>
      </c>
    </row>
    <row r="9" spans="1:10" ht="12" customHeight="1" x14ac:dyDescent="0.3">
      <c r="A9" s="7" t="s">
        <v>3</v>
      </c>
      <c r="B9" s="7" t="s">
        <v>25</v>
      </c>
      <c r="C9" s="7">
        <v>2</v>
      </c>
      <c r="D9" s="7" t="s">
        <v>62</v>
      </c>
      <c r="E9" s="15">
        <v>0.65561100000000005</v>
      </c>
    </row>
    <row r="10" spans="1:10" ht="12" customHeight="1" x14ac:dyDescent="0.35">
      <c r="A10" s="7" t="s">
        <v>3</v>
      </c>
      <c r="B10" s="7" t="s">
        <v>25</v>
      </c>
      <c r="C10" s="7">
        <v>3</v>
      </c>
      <c r="D10" s="7" t="s">
        <v>63</v>
      </c>
      <c r="E10" s="15">
        <v>0.80787200000000003</v>
      </c>
      <c r="J10"/>
    </row>
    <row r="11" spans="1:10" ht="12" customHeight="1" x14ac:dyDescent="0.35">
      <c r="A11" s="7" t="s">
        <v>3</v>
      </c>
      <c r="B11" s="7" t="s">
        <v>25</v>
      </c>
      <c r="C11" s="7">
        <v>4</v>
      </c>
      <c r="D11" s="7" t="s">
        <v>64</v>
      </c>
      <c r="E11" s="15">
        <v>0.88458999999999999</v>
      </c>
      <c r="J11"/>
    </row>
    <row r="12" spans="1:10" ht="12" customHeight="1" x14ac:dyDescent="0.35">
      <c r="A12" s="7" t="s">
        <v>3</v>
      </c>
      <c r="B12" s="7" t="s">
        <v>25</v>
      </c>
      <c r="C12" s="7">
        <v>5</v>
      </c>
      <c r="D12" s="7" t="s">
        <v>65</v>
      </c>
      <c r="E12" s="15">
        <v>0.93152100000000004</v>
      </c>
      <c r="J12"/>
    </row>
    <row r="13" spans="1:10" ht="12" customHeight="1" x14ac:dyDescent="0.35">
      <c r="A13" s="7" t="s">
        <v>3</v>
      </c>
      <c r="B13" s="7" t="s">
        <v>25</v>
      </c>
      <c r="C13" s="7">
        <v>6</v>
      </c>
      <c r="D13" s="7" t="s">
        <v>66</v>
      </c>
      <c r="E13" s="15">
        <v>0.96482000000000001</v>
      </c>
      <c r="J13"/>
    </row>
    <row r="14" spans="1:10" ht="12" customHeight="1" x14ac:dyDescent="0.35">
      <c r="A14" s="7" t="s">
        <v>3</v>
      </c>
      <c r="B14" s="7" t="s">
        <v>25</v>
      </c>
      <c r="C14" s="7">
        <v>7</v>
      </c>
      <c r="D14" s="7" t="s">
        <v>67</v>
      </c>
      <c r="E14" s="15">
        <v>0.97921100000000005</v>
      </c>
      <c r="J14"/>
    </row>
    <row r="15" spans="1:10" ht="12" customHeight="1" x14ac:dyDescent="0.35">
      <c r="A15" s="7" t="s">
        <v>3</v>
      </c>
      <c r="B15" s="7" t="s">
        <v>25</v>
      </c>
      <c r="C15" s="7">
        <v>8</v>
      </c>
      <c r="D15" s="7" t="s">
        <v>68</v>
      </c>
      <c r="E15" s="15">
        <v>0.98836900000000005</v>
      </c>
      <c r="J15"/>
    </row>
    <row r="16" spans="1:10" ht="12" customHeight="1" x14ac:dyDescent="0.35">
      <c r="A16" s="7" t="s">
        <v>3</v>
      </c>
      <c r="B16" s="7" t="s">
        <v>25</v>
      </c>
      <c r="C16" s="7">
        <v>9</v>
      </c>
      <c r="D16" s="7" t="s">
        <v>69</v>
      </c>
      <c r="E16" s="15">
        <v>0.99603200000000003</v>
      </c>
      <c r="J16"/>
    </row>
    <row r="17" spans="1:10" ht="12" customHeight="1" x14ac:dyDescent="0.35">
      <c r="A17" s="7" t="s">
        <v>3</v>
      </c>
      <c r="B17" s="7" t="s">
        <v>25</v>
      </c>
      <c r="C17" s="7">
        <v>10</v>
      </c>
      <c r="D17" s="7" t="s">
        <v>70</v>
      </c>
      <c r="E17" s="15">
        <v>1</v>
      </c>
      <c r="J17"/>
    </row>
    <row r="18" spans="1:10" ht="12" customHeight="1" x14ac:dyDescent="0.3">
      <c r="A18" s="7" t="s">
        <v>3</v>
      </c>
      <c r="B18" s="7" t="s">
        <v>25</v>
      </c>
      <c r="C18" s="7">
        <v>11</v>
      </c>
      <c r="D18" s="7" t="s">
        <v>71</v>
      </c>
      <c r="E18" s="15">
        <v>1</v>
      </c>
    </row>
    <row r="19" spans="1:10" ht="12" customHeight="1" x14ac:dyDescent="0.3">
      <c r="A19" s="7" t="s">
        <v>3</v>
      </c>
      <c r="B19" s="7" t="s">
        <v>25</v>
      </c>
      <c r="C19" s="7">
        <v>12</v>
      </c>
      <c r="D19" s="7" t="s">
        <v>72</v>
      </c>
      <c r="E19" s="15">
        <v>1</v>
      </c>
    </row>
    <row r="20" spans="1:10" ht="12" customHeight="1" x14ac:dyDescent="0.3">
      <c r="A20" s="7" t="s">
        <v>3</v>
      </c>
      <c r="B20" s="7" t="s">
        <v>25</v>
      </c>
      <c r="C20" s="7">
        <v>13</v>
      </c>
      <c r="D20" s="7" t="s">
        <v>73</v>
      </c>
      <c r="E20" s="15">
        <v>1</v>
      </c>
    </row>
    <row r="21" spans="1:10" ht="12" customHeight="1" x14ac:dyDescent="0.3">
      <c r="A21" s="7" t="s">
        <v>3</v>
      </c>
      <c r="B21" s="7" t="s">
        <v>25</v>
      </c>
      <c r="C21" s="7">
        <v>14</v>
      </c>
      <c r="D21" s="7" t="s">
        <v>74</v>
      </c>
      <c r="E21" s="15">
        <v>1</v>
      </c>
    </row>
    <row r="22" spans="1:10" ht="12" customHeight="1" x14ac:dyDescent="0.3">
      <c r="A22" s="7" t="s">
        <v>3</v>
      </c>
      <c r="B22" s="7" t="s">
        <v>25</v>
      </c>
      <c r="C22" s="7">
        <v>15</v>
      </c>
      <c r="D22" s="7" t="s">
        <v>75</v>
      </c>
      <c r="E22" s="15">
        <v>1</v>
      </c>
    </row>
    <row r="23" spans="1:10" ht="12" customHeight="1" x14ac:dyDescent="0.3">
      <c r="A23" s="7" t="s">
        <v>3</v>
      </c>
      <c r="B23" s="7" t="s">
        <v>25</v>
      </c>
      <c r="C23" s="7">
        <v>16</v>
      </c>
      <c r="D23" s="7" t="s">
        <v>76</v>
      </c>
      <c r="E23" s="15">
        <v>1</v>
      </c>
    </row>
    <row r="24" spans="1:10" ht="12" customHeight="1" x14ac:dyDescent="0.3">
      <c r="A24" s="7" t="s">
        <v>3</v>
      </c>
      <c r="B24" s="7" t="s">
        <v>25</v>
      </c>
      <c r="C24" s="7">
        <v>17</v>
      </c>
      <c r="D24" s="7" t="s">
        <v>77</v>
      </c>
      <c r="E24" s="15">
        <v>1</v>
      </c>
    </row>
    <row r="25" spans="1:10" ht="12" customHeight="1" x14ac:dyDescent="0.3">
      <c r="A25" s="7" t="s">
        <v>3</v>
      </c>
      <c r="B25" s="7" t="s">
        <v>25</v>
      </c>
      <c r="C25" s="7">
        <v>18</v>
      </c>
      <c r="D25" s="7" t="s">
        <v>78</v>
      </c>
      <c r="E25" s="15">
        <v>1</v>
      </c>
    </row>
    <row r="26" spans="1:10" ht="12" customHeight="1" x14ac:dyDescent="0.3">
      <c r="A26" s="7" t="s">
        <v>3</v>
      </c>
      <c r="B26" s="7" t="s">
        <v>25</v>
      </c>
      <c r="C26" s="7">
        <v>19</v>
      </c>
      <c r="D26" s="7" t="s">
        <v>79</v>
      </c>
      <c r="E26" s="15">
        <v>1</v>
      </c>
    </row>
    <row r="27" spans="1:10" ht="12" customHeight="1" x14ac:dyDescent="0.3">
      <c r="A27" s="7" t="s">
        <v>3</v>
      </c>
      <c r="B27" s="7" t="s">
        <v>25</v>
      </c>
      <c r="C27" s="7">
        <v>20</v>
      </c>
      <c r="D27" s="7" t="s">
        <v>80</v>
      </c>
      <c r="E27" s="15">
        <v>1</v>
      </c>
    </row>
    <row r="28" spans="1:10" ht="12" customHeight="1" x14ac:dyDescent="0.3">
      <c r="A28" s="7" t="s">
        <v>3</v>
      </c>
      <c r="B28" s="7" t="s">
        <v>25</v>
      </c>
      <c r="C28" s="7">
        <v>21</v>
      </c>
      <c r="D28" s="7" t="s">
        <v>81</v>
      </c>
      <c r="E28" s="15">
        <v>1</v>
      </c>
    </row>
    <row r="29" spans="1:10" ht="12" customHeight="1" x14ac:dyDescent="0.3">
      <c r="A29" s="7" t="s">
        <v>3</v>
      </c>
      <c r="B29" s="7" t="s">
        <v>25</v>
      </c>
      <c r="C29" s="7">
        <v>22</v>
      </c>
      <c r="D29" s="7" t="s">
        <v>82</v>
      </c>
      <c r="E29" s="15">
        <v>1</v>
      </c>
    </row>
    <row r="30" spans="1:10" ht="12" customHeight="1" x14ac:dyDescent="0.3">
      <c r="A30" s="7" t="s">
        <v>3</v>
      </c>
      <c r="B30" s="7" t="s">
        <v>25</v>
      </c>
      <c r="C30" s="7">
        <v>23</v>
      </c>
      <c r="D30" s="7" t="s">
        <v>83</v>
      </c>
      <c r="E30" s="15">
        <v>1</v>
      </c>
    </row>
    <row r="31" spans="1:10" ht="12" customHeight="1" x14ac:dyDescent="0.3">
      <c r="A31" s="7" t="s">
        <v>3</v>
      </c>
      <c r="B31" s="7" t="s">
        <v>25</v>
      </c>
      <c r="C31" s="7">
        <v>24</v>
      </c>
      <c r="D31" s="7" t="s">
        <v>84</v>
      </c>
      <c r="E31" s="15">
        <v>1</v>
      </c>
    </row>
    <row r="32" spans="1:10" ht="12" customHeight="1" x14ac:dyDescent="0.3">
      <c r="A32" s="7" t="s">
        <v>3</v>
      </c>
      <c r="B32" s="7" t="s">
        <v>25</v>
      </c>
      <c r="C32" s="7">
        <v>25</v>
      </c>
      <c r="D32" s="7" t="s">
        <v>85</v>
      </c>
      <c r="E32" s="15">
        <v>1</v>
      </c>
    </row>
    <row r="33" spans="1:5" ht="12" customHeight="1" x14ac:dyDescent="0.3">
      <c r="A33" s="7" t="s">
        <v>3</v>
      </c>
      <c r="B33" s="7" t="s">
        <v>25</v>
      </c>
      <c r="C33" s="7">
        <v>26</v>
      </c>
      <c r="D33" s="7" t="s">
        <v>86</v>
      </c>
      <c r="E33" s="15">
        <v>1</v>
      </c>
    </row>
    <row r="34" spans="1:5" ht="12" customHeight="1" x14ac:dyDescent="0.3">
      <c r="A34" s="7" t="s">
        <v>3</v>
      </c>
      <c r="B34" s="7" t="s">
        <v>25</v>
      </c>
      <c r="C34" s="7">
        <v>27</v>
      </c>
      <c r="D34" s="7" t="s">
        <v>87</v>
      </c>
      <c r="E34" s="15">
        <v>1</v>
      </c>
    </row>
    <row r="35" spans="1:5" ht="12" customHeight="1" x14ac:dyDescent="0.3">
      <c r="A35" s="7" t="s">
        <v>3</v>
      </c>
      <c r="B35" s="7" t="s">
        <v>25</v>
      </c>
      <c r="C35" s="7">
        <v>28</v>
      </c>
      <c r="D35" s="7" t="s">
        <v>88</v>
      </c>
      <c r="E35" s="15">
        <v>1</v>
      </c>
    </row>
    <row r="36" spans="1:5" ht="12" customHeight="1" x14ac:dyDescent="0.3">
      <c r="A36" s="7" t="s">
        <v>3</v>
      </c>
      <c r="B36" s="7" t="s">
        <v>25</v>
      </c>
      <c r="C36" s="7">
        <v>29</v>
      </c>
      <c r="D36" s="7" t="s">
        <v>89</v>
      </c>
      <c r="E36" s="15">
        <v>1</v>
      </c>
    </row>
    <row r="37" spans="1:5" ht="12" customHeight="1" x14ac:dyDescent="0.3">
      <c r="A37" s="7" t="s">
        <v>3</v>
      </c>
      <c r="B37" s="7" t="s">
        <v>25</v>
      </c>
      <c r="C37" s="7">
        <v>30</v>
      </c>
      <c r="D37" s="7" t="s">
        <v>90</v>
      </c>
      <c r="E37" s="15">
        <v>1</v>
      </c>
    </row>
    <row r="38" spans="1:5" ht="12" customHeight="1" x14ac:dyDescent="0.3">
      <c r="A38" s="7" t="s">
        <v>3</v>
      </c>
      <c r="B38" s="7" t="s">
        <v>25</v>
      </c>
      <c r="C38" s="7">
        <v>31</v>
      </c>
      <c r="D38" s="7" t="s">
        <v>91</v>
      </c>
      <c r="E38" s="15">
        <v>1</v>
      </c>
    </row>
    <row r="39" spans="1:5" ht="12" customHeight="1" x14ac:dyDescent="0.3">
      <c r="A39" s="7" t="s">
        <v>3</v>
      </c>
      <c r="B39" s="7" t="s">
        <v>25</v>
      </c>
      <c r="C39" s="7">
        <v>32</v>
      </c>
      <c r="D39" s="7" t="s">
        <v>92</v>
      </c>
      <c r="E39" s="15">
        <v>1</v>
      </c>
    </row>
    <row r="40" spans="1:5" ht="12" customHeight="1" x14ac:dyDescent="0.3">
      <c r="A40" s="7" t="s">
        <v>3</v>
      </c>
      <c r="B40" s="7" t="s">
        <v>25</v>
      </c>
      <c r="C40" s="7">
        <v>33</v>
      </c>
      <c r="D40" s="7" t="s">
        <v>93</v>
      </c>
      <c r="E40" s="15">
        <v>1</v>
      </c>
    </row>
    <row r="41" spans="1:5" ht="12" customHeight="1" x14ac:dyDescent="0.3">
      <c r="A41" s="7" t="s">
        <v>3</v>
      </c>
      <c r="B41" s="7" t="s">
        <v>25</v>
      </c>
      <c r="C41" s="7">
        <v>34</v>
      </c>
      <c r="D41" s="7" t="s">
        <v>94</v>
      </c>
      <c r="E41" s="15">
        <v>1</v>
      </c>
    </row>
    <row r="42" spans="1:5" ht="12" customHeight="1" x14ac:dyDescent="0.3">
      <c r="A42" s="7" t="s">
        <v>3</v>
      </c>
      <c r="B42" s="7" t="s">
        <v>25</v>
      </c>
      <c r="C42" s="7">
        <v>35</v>
      </c>
      <c r="D42" s="7" t="s">
        <v>95</v>
      </c>
      <c r="E42" s="15">
        <v>1</v>
      </c>
    </row>
    <row r="43" spans="1:5" ht="12" customHeight="1" x14ac:dyDescent="0.3">
      <c r="A43" s="7" t="s">
        <v>3</v>
      </c>
      <c r="B43" s="7" t="s">
        <v>26</v>
      </c>
      <c r="C43" s="7">
        <v>0</v>
      </c>
      <c r="D43" s="7" t="s">
        <v>96</v>
      </c>
      <c r="E43" s="15">
        <v>7.2995000000000004E-2</v>
      </c>
    </row>
    <row r="44" spans="1:5" ht="12" customHeight="1" x14ac:dyDescent="0.3">
      <c r="A44" s="7" t="s">
        <v>3</v>
      </c>
      <c r="B44" s="7" t="s">
        <v>26</v>
      </c>
      <c r="C44" s="7">
        <v>1</v>
      </c>
      <c r="D44" s="7" t="s">
        <v>97</v>
      </c>
      <c r="E44" s="15">
        <v>0.67301299999999997</v>
      </c>
    </row>
    <row r="45" spans="1:5" ht="12" customHeight="1" x14ac:dyDescent="0.3">
      <c r="A45" s="7" t="s">
        <v>3</v>
      </c>
      <c r="B45" s="7" t="s">
        <v>26</v>
      </c>
      <c r="C45" s="7">
        <v>2</v>
      </c>
      <c r="D45" s="7" t="s">
        <v>98</v>
      </c>
      <c r="E45" s="15">
        <v>0.85211599999999998</v>
      </c>
    </row>
    <row r="46" spans="1:5" ht="12" customHeight="1" x14ac:dyDescent="0.3">
      <c r="A46" s="7" t="s">
        <v>3</v>
      </c>
      <c r="B46" s="7" t="s">
        <v>26</v>
      </c>
      <c r="C46" s="7">
        <v>3</v>
      </c>
      <c r="D46" s="7" t="s">
        <v>99</v>
      </c>
      <c r="E46" s="15">
        <v>0.90224599999999999</v>
      </c>
    </row>
    <row r="47" spans="1:5" ht="12" customHeight="1" x14ac:dyDescent="0.3">
      <c r="A47" s="7" t="s">
        <v>3</v>
      </c>
      <c r="B47" s="7" t="s">
        <v>26</v>
      </c>
      <c r="C47" s="7">
        <v>4</v>
      </c>
      <c r="D47" s="7" t="s">
        <v>100</v>
      </c>
      <c r="E47" s="15">
        <v>0.93655500000000003</v>
      </c>
    </row>
    <row r="48" spans="1:5" ht="12" customHeight="1" x14ac:dyDescent="0.3">
      <c r="A48" s="7" t="s">
        <v>3</v>
      </c>
      <c r="B48" s="7" t="s">
        <v>26</v>
      </c>
      <c r="C48" s="7">
        <v>5</v>
      </c>
      <c r="D48" s="7" t="s">
        <v>101</v>
      </c>
      <c r="E48" s="15">
        <v>0.95551799999999998</v>
      </c>
    </row>
    <row r="49" spans="1:5" ht="12" customHeight="1" x14ac:dyDescent="0.3">
      <c r="A49" s="7" t="s">
        <v>3</v>
      </c>
      <c r="B49" s="7" t="s">
        <v>26</v>
      </c>
      <c r="C49" s="7">
        <v>6</v>
      </c>
      <c r="D49" s="7" t="s">
        <v>102</v>
      </c>
      <c r="E49" s="15">
        <v>0.97025399999999995</v>
      </c>
    </row>
    <row r="50" spans="1:5" ht="12" customHeight="1" x14ac:dyDescent="0.3">
      <c r="A50" s="7" t="s">
        <v>3</v>
      </c>
      <c r="B50" s="7" t="s">
        <v>26</v>
      </c>
      <c r="C50" s="7">
        <v>7</v>
      </c>
      <c r="D50" s="7" t="s">
        <v>103</v>
      </c>
      <c r="E50" s="15">
        <v>0.97972700000000001</v>
      </c>
    </row>
    <row r="51" spans="1:5" ht="12" customHeight="1" x14ac:dyDescent="0.3">
      <c r="A51" s="7" t="s">
        <v>3</v>
      </c>
      <c r="B51" s="7" t="s">
        <v>26</v>
      </c>
      <c r="C51" s="7">
        <v>8</v>
      </c>
      <c r="D51" s="7" t="s">
        <v>104</v>
      </c>
      <c r="E51" s="15">
        <v>0.98782800000000004</v>
      </c>
    </row>
    <row r="52" spans="1:5" ht="12" customHeight="1" x14ac:dyDescent="0.3">
      <c r="A52" s="7" t="s">
        <v>3</v>
      </c>
      <c r="B52" s="7" t="s">
        <v>26</v>
      </c>
      <c r="C52" s="7">
        <v>9</v>
      </c>
      <c r="D52" s="7" t="s">
        <v>105</v>
      </c>
      <c r="E52" s="15">
        <v>0.99508300000000005</v>
      </c>
    </row>
    <row r="53" spans="1:5" ht="12" customHeight="1" x14ac:dyDescent="0.3">
      <c r="A53" s="7" t="s">
        <v>3</v>
      </c>
      <c r="B53" s="7" t="s">
        <v>26</v>
      </c>
      <c r="C53" s="7">
        <v>10</v>
      </c>
      <c r="D53" s="7" t="s">
        <v>106</v>
      </c>
      <c r="E53" s="15">
        <v>1</v>
      </c>
    </row>
    <row r="54" spans="1:5" ht="12" customHeight="1" x14ac:dyDescent="0.3">
      <c r="A54" s="7" t="s">
        <v>3</v>
      </c>
      <c r="B54" s="7" t="s">
        <v>26</v>
      </c>
      <c r="C54" s="7">
        <v>11</v>
      </c>
      <c r="D54" s="7" t="s">
        <v>107</v>
      </c>
      <c r="E54" s="15">
        <v>1</v>
      </c>
    </row>
    <row r="55" spans="1:5" ht="12" customHeight="1" x14ac:dyDescent="0.3">
      <c r="A55" s="7" t="s">
        <v>3</v>
      </c>
      <c r="B55" s="7" t="s">
        <v>26</v>
      </c>
      <c r="C55" s="7">
        <v>12</v>
      </c>
      <c r="D55" s="7" t="s">
        <v>108</v>
      </c>
      <c r="E55" s="15">
        <v>1</v>
      </c>
    </row>
    <row r="56" spans="1:5" ht="12" customHeight="1" x14ac:dyDescent="0.3">
      <c r="A56" s="7" t="s">
        <v>3</v>
      </c>
      <c r="B56" s="7" t="s">
        <v>26</v>
      </c>
      <c r="C56" s="7">
        <v>13</v>
      </c>
      <c r="D56" s="7" t="s">
        <v>109</v>
      </c>
      <c r="E56" s="15">
        <v>1</v>
      </c>
    </row>
    <row r="57" spans="1:5" ht="12" customHeight="1" x14ac:dyDescent="0.3">
      <c r="A57" s="7" t="s">
        <v>3</v>
      </c>
      <c r="B57" s="7" t="s">
        <v>26</v>
      </c>
      <c r="C57" s="7">
        <v>14</v>
      </c>
      <c r="D57" s="7" t="s">
        <v>110</v>
      </c>
      <c r="E57" s="15">
        <v>1</v>
      </c>
    </row>
    <row r="58" spans="1:5" ht="12" customHeight="1" x14ac:dyDescent="0.3">
      <c r="A58" s="7" t="s">
        <v>3</v>
      </c>
      <c r="B58" s="7" t="s">
        <v>26</v>
      </c>
      <c r="C58" s="7">
        <v>15</v>
      </c>
      <c r="D58" s="7" t="s">
        <v>111</v>
      </c>
      <c r="E58" s="15">
        <v>1</v>
      </c>
    </row>
    <row r="59" spans="1:5" ht="12" customHeight="1" x14ac:dyDescent="0.3">
      <c r="A59" s="7" t="s">
        <v>3</v>
      </c>
      <c r="B59" s="7" t="s">
        <v>26</v>
      </c>
      <c r="C59" s="7">
        <v>16</v>
      </c>
      <c r="D59" s="7" t="s">
        <v>112</v>
      </c>
      <c r="E59" s="15">
        <v>1</v>
      </c>
    </row>
    <row r="60" spans="1:5" ht="12" customHeight="1" x14ac:dyDescent="0.3">
      <c r="A60" s="7" t="s">
        <v>3</v>
      </c>
      <c r="B60" s="7" t="s">
        <v>26</v>
      </c>
      <c r="C60" s="7">
        <v>17</v>
      </c>
      <c r="D60" s="7" t="s">
        <v>113</v>
      </c>
      <c r="E60" s="15">
        <v>1</v>
      </c>
    </row>
    <row r="61" spans="1:5" ht="12" customHeight="1" x14ac:dyDescent="0.3">
      <c r="A61" s="7" t="s">
        <v>3</v>
      </c>
      <c r="B61" s="7" t="s">
        <v>26</v>
      </c>
      <c r="C61" s="7">
        <v>18</v>
      </c>
      <c r="D61" s="7" t="s">
        <v>114</v>
      </c>
      <c r="E61" s="15">
        <v>1</v>
      </c>
    </row>
    <row r="62" spans="1:5" ht="12" customHeight="1" x14ac:dyDescent="0.3">
      <c r="A62" s="7" t="s">
        <v>3</v>
      </c>
      <c r="B62" s="7" t="s">
        <v>26</v>
      </c>
      <c r="C62" s="7">
        <v>19</v>
      </c>
      <c r="D62" s="7" t="s">
        <v>115</v>
      </c>
      <c r="E62" s="15">
        <v>1</v>
      </c>
    </row>
    <row r="63" spans="1:5" ht="12" customHeight="1" x14ac:dyDescent="0.3">
      <c r="A63" s="7" t="s">
        <v>3</v>
      </c>
      <c r="B63" s="7" t="s">
        <v>26</v>
      </c>
      <c r="C63" s="7">
        <v>20</v>
      </c>
      <c r="D63" s="7" t="s">
        <v>116</v>
      </c>
      <c r="E63" s="15">
        <v>1</v>
      </c>
    </row>
    <row r="64" spans="1:5" ht="12" customHeight="1" x14ac:dyDescent="0.3">
      <c r="A64" s="7" t="s">
        <v>3</v>
      </c>
      <c r="B64" s="7" t="s">
        <v>26</v>
      </c>
      <c r="C64" s="7">
        <v>21</v>
      </c>
      <c r="D64" s="7" t="s">
        <v>117</v>
      </c>
      <c r="E64" s="15">
        <v>1</v>
      </c>
    </row>
    <row r="65" spans="1:5" ht="12" customHeight="1" x14ac:dyDescent="0.3">
      <c r="A65" s="7" t="s">
        <v>3</v>
      </c>
      <c r="B65" s="7" t="s">
        <v>26</v>
      </c>
      <c r="C65" s="7">
        <v>22</v>
      </c>
      <c r="D65" s="7" t="s">
        <v>118</v>
      </c>
      <c r="E65" s="15">
        <v>1</v>
      </c>
    </row>
    <row r="66" spans="1:5" ht="12" customHeight="1" x14ac:dyDescent="0.3">
      <c r="A66" s="7" t="s">
        <v>3</v>
      </c>
      <c r="B66" s="7" t="s">
        <v>26</v>
      </c>
      <c r="C66" s="7">
        <v>23</v>
      </c>
      <c r="D66" s="7" t="s">
        <v>119</v>
      </c>
      <c r="E66" s="15">
        <v>1</v>
      </c>
    </row>
    <row r="67" spans="1:5" ht="12" customHeight="1" x14ac:dyDescent="0.3">
      <c r="A67" s="7" t="s">
        <v>3</v>
      </c>
      <c r="B67" s="7" t="s">
        <v>26</v>
      </c>
      <c r="C67" s="7">
        <v>24</v>
      </c>
      <c r="D67" s="7" t="s">
        <v>120</v>
      </c>
      <c r="E67" s="15">
        <v>1</v>
      </c>
    </row>
    <row r="68" spans="1:5" ht="12" customHeight="1" x14ac:dyDescent="0.3">
      <c r="A68" s="7" t="s">
        <v>3</v>
      </c>
      <c r="B68" s="7" t="s">
        <v>26</v>
      </c>
      <c r="C68" s="7">
        <v>25</v>
      </c>
      <c r="D68" s="7" t="s">
        <v>121</v>
      </c>
      <c r="E68" s="15">
        <v>1</v>
      </c>
    </row>
    <row r="69" spans="1:5" ht="12" customHeight="1" x14ac:dyDescent="0.3">
      <c r="A69" s="7" t="s">
        <v>3</v>
      </c>
      <c r="B69" s="7" t="s">
        <v>26</v>
      </c>
      <c r="C69" s="7">
        <v>26</v>
      </c>
      <c r="D69" s="7" t="s">
        <v>122</v>
      </c>
      <c r="E69" s="15">
        <v>1</v>
      </c>
    </row>
    <row r="70" spans="1:5" ht="12" customHeight="1" x14ac:dyDescent="0.3">
      <c r="A70" s="7" t="s">
        <v>3</v>
      </c>
      <c r="B70" s="7" t="s">
        <v>26</v>
      </c>
      <c r="C70" s="7">
        <v>27</v>
      </c>
      <c r="D70" s="7" t="s">
        <v>123</v>
      </c>
      <c r="E70" s="15">
        <v>1</v>
      </c>
    </row>
    <row r="71" spans="1:5" ht="12" customHeight="1" x14ac:dyDescent="0.3">
      <c r="A71" s="7" t="s">
        <v>3</v>
      </c>
      <c r="B71" s="7" t="s">
        <v>26</v>
      </c>
      <c r="C71" s="7">
        <v>28</v>
      </c>
      <c r="D71" s="7" t="s">
        <v>124</v>
      </c>
      <c r="E71" s="15">
        <v>1</v>
      </c>
    </row>
    <row r="72" spans="1:5" ht="12" customHeight="1" x14ac:dyDescent="0.3">
      <c r="A72" s="7" t="s">
        <v>3</v>
      </c>
      <c r="B72" s="7" t="s">
        <v>26</v>
      </c>
      <c r="C72" s="7">
        <v>29</v>
      </c>
      <c r="D72" s="7" t="s">
        <v>125</v>
      </c>
      <c r="E72" s="15">
        <v>1</v>
      </c>
    </row>
    <row r="73" spans="1:5" ht="12" customHeight="1" x14ac:dyDescent="0.3">
      <c r="A73" s="7" t="s">
        <v>3</v>
      </c>
      <c r="B73" s="7" t="s">
        <v>26</v>
      </c>
      <c r="C73" s="7">
        <v>30</v>
      </c>
      <c r="D73" s="7" t="s">
        <v>126</v>
      </c>
      <c r="E73" s="15">
        <v>1</v>
      </c>
    </row>
    <row r="74" spans="1:5" ht="12" customHeight="1" x14ac:dyDescent="0.3">
      <c r="A74" s="7" t="s">
        <v>3</v>
      </c>
      <c r="B74" s="7" t="s">
        <v>26</v>
      </c>
      <c r="C74" s="7">
        <v>31</v>
      </c>
      <c r="D74" s="7" t="s">
        <v>127</v>
      </c>
      <c r="E74" s="15">
        <v>1</v>
      </c>
    </row>
    <row r="75" spans="1:5" ht="12" customHeight="1" x14ac:dyDescent="0.3">
      <c r="A75" s="7" t="s">
        <v>3</v>
      </c>
      <c r="B75" s="7" t="s">
        <v>26</v>
      </c>
      <c r="C75" s="7">
        <v>32</v>
      </c>
      <c r="D75" s="7" t="s">
        <v>128</v>
      </c>
      <c r="E75" s="15">
        <v>1</v>
      </c>
    </row>
    <row r="76" spans="1:5" ht="12" customHeight="1" x14ac:dyDescent="0.3">
      <c r="A76" s="7" t="s">
        <v>3</v>
      </c>
      <c r="B76" s="7" t="s">
        <v>26</v>
      </c>
      <c r="C76" s="7">
        <v>33</v>
      </c>
      <c r="D76" s="7" t="s">
        <v>129</v>
      </c>
      <c r="E76" s="15">
        <v>1</v>
      </c>
    </row>
    <row r="77" spans="1:5" ht="12" customHeight="1" x14ac:dyDescent="0.3">
      <c r="A77" s="7" t="s">
        <v>3</v>
      </c>
      <c r="B77" s="7" t="s">
        <v>26</v>
      </c>
      <c r="C77" s="7">
        <v>34</v>
      </c>
      <c r="D77" s="7" t="s">
        <v>130</v>
      </c>
      <c r="E77" s="15">
        <v>1</v>
      </c>
    </row>
    <row r="78" spans="1:5" ht="12" customHeight="1" x14ac:dyDescent="0.3">
      <c r="A78" s="7" t="s">
        <v>3</v>
      </c>
      <c r="B78" s="7" t="s">
        <v>26</v>
      </c>
      <c r="C78" s="7">
        <v>35</v>
      </c>
      <c r="D78" s="7" t="s">
        <v>131</v>
      </c>
      <c r="E78" s="15">
        <v>1</v>
      </c>
    </row>
    <row r="79" spans="1:5" ht="12" customHeight="1" x14ac:dyDescent="0.3">
      <c r="A79" s="7" t="s">
        <v>4</v>
      </c>
      <c r="B79" s="7" t="s">
        <v>25</v>
      </c>
      <c r="C79" s="7">
        <v>0</v>
      </c>
      <c r="D79" s="7" t="s">
        <v>132</v>
      </c>
      <c r="E79" s="15">
        <v>1.9352000000000001E-2</v>
      </c>
    </row>
    <row r="80" spans="1:5" ht="12" customHeight="1" x14ac:dyDescent="0.3">
      <c r="A80" s="7" t="s">
        <v>4</v>
      </c>
      <c r="B80" s="7" t="s">
        <v>25</v>
      </c>
      <c r="C80" s="7">
        <v>1</v>
      </c>
      <c r="D80" s="7" t="s">
        <v>133</v>
      </c>
      <c r="E80" s="15">
        <v>0.31600299999999998</v>
      </c>
    </row>
    <row r="81" spans="1:5" ht="12" customHeight="1" x14ac:dyDescent="0.3">
      <c r="A81" s="7" t="s">
        <v>4</v>
      </c>
      <c r="B81" s="7" t="s">
        <v>25</v>
      </c>
      <c r="C81" s="7">
        <v>2</v>
      </c>
      <c r="D81" s="7" t="s">
        <v>134</v>
      </c>
      <c r="E81" s="15">
        <v>0.57162500000000005</v>
      </c>
    </row>
    <row r="82" spans="1:5" ht="12" customHeight="1" x14ac:dyDescent="0.3">
      <c r="A82" s="7" t="s">
        <v>4</v>
      </c>
      <c r="B82" s="7" t="s">
        <v>25</v>
      </c>
      <c r="C82" s="7">
        <v>3</v>
      </c>
      <c r="D82" s="7" t="s">
        <v>135</v>
      </c>
      <c r="E82" s="15">
        <v>0.73339299999999996</v>
      </c>
    </row>
    <row r="83" spans="1:5" ht="12" customHeight="1" x14ac:dyDescent="0.3">
      <c r="A83" s="7" t="s">
        <v>4</v>
      </c>
      <c r="B83" s="7" t="s">
        <v>25</v>
      </c>
      <c r="C83" s="7">
        <v>4</v>
      </c>
      <c r="D83" s="7" t="s">
        <v>136</v>
      </c>
      <c r="E83" s="15">
        <v>0.823299</v>
      </c>
    </row>
    <row r="84" spans="1:5" ht="12" customHeight="1" x14ac:dyDescent="0.3">
      <c r="A84" s="7" t="s">
        <v>4</v>
      </c>
      <c r="B84" s="7" t="s">
        <v>25</v>
      </c>
      <c r="C84" s="7">
        <v>5</v>
      </c>
      <c r="D84" s="7" t="s">
        <v>137</v>
      </c>
      <c r="E84" s="15">
        <v>0.88404300000000002</v>
      </c>
    </row>
    <row r="85" spans="1:5" ht="12" customHeight="1" x14ac:dyDescent="0.3">
      <c r="A85" s="7" t="s">
        <v>4</v>
      </c>
      <c r="B85" s="7" t="s">
        <v>25</v>
      </c>
      <c r="C85" s="7">
        <v>6</v>
      </c>
      <c r="D85" s="7" t="s">
        <v>138</v>
      </c>
      <c r="E85" s="15">
        <v>0.92469199999999996</v>
      </c>
    </row>
    <row r="86" spans="1:5" ht="12" customHeight="1" x14ac:dyDescent="0.3">
      <c r="A86" s="7" t="s">
        <v>4</v>
      </c>
      <c r="B86" s="7" t="s">
        <v>25</v>
      </c>
      <c r="C86" s="7">
        <v>7</v>
      </c>
      <c r="D86" s="7" t="s">
        <v>139</v>
      </c>
      <c r="E86" s="15">
        <v>0.95257099999999995</v>
      </c>
    </row>
    <row r="87" spans="1:5" ht="12" customHeight="1" x14ac:dyDescent="0.3">
      <c r="A87" s="7" t="s">
        <v>4</v>
      </c>
      <c r="B87" s="7" t="s">
        <v>25</v>
      </c>
      <c r="C87" s="7">
        <v>8</v>
      </c>
      <c r="D87" s="7" t="s">
        <v>140</v>
      </c>
      <c r="E87" s="15">
        <v>0.97353800000000001</v>
      </c>
    </row>
    <row r="88" spans="1:5" ht="12" customHeight="1" x14ac:dyDescent="0.3">
      <c r="A88" s="7" t="s">
        <v>4</v>
      </c>
      <c r="B88" s="7" t="s">
        <v>25</v>
      </c>
      <c r="C88" s="7">
        <v>9</v>
      </c>
      <c r="D88" s="7" t="s">
        <v>141</v>
      </c>
      <c r="E88" s="15">
        <v>0.99208099999999999</v>
      </c>
    </row>
    <row r="89" spans="1:5" ht="12" customHeight="1" x14ac:dyDescent="0.3">
      <c r="A89" s="7" t="s">
        <v>4</v>
      </c>
      <c r="B89" s="7" t="s">
        <v>25</v>
      </c>
      <c r="C89" s="7">
        <v>10</v>
      </c>
      <c r="D89" s="7" t="s">
        <v>142</v>
      </c>
      <c r="E89" s="15">
        <v>1</v>
      </c>
    </row>
    <row r="90" spans="1:5" ht="12" customHeight="1" x14ac:dyDescent="0.3">
      <c r="A90" s="7" t="s">
        <v>4</v>
      </c>
      <c r="B90" s="7" t="s">
        <v>25</v>
      </c>
      <c r="C90" s="7">
        <v>11</v>
      </c>
      <c r="D90" s="7" t="s">
        <v>143</v>
      </c>
      <c r="E90" s="15">
        <v>1</v>
      </c>
    </row>
    <row r="91" spans="1:5" ht="12" customHeight="1" x14ac:dyDescent="0.3">
      <c r="A91" s="7" t="s">
        <v>4</v>
      </c>
      <c r="B91" s="7" t="s">
        <v>25</v>
      </c>
      <c r="C91" s="7">
        <v>12</v>
      </c>
      <c r="D91" s="7" t="s">
        <v>144</v>
      </c>
      <c r="E91" s="15">
        <v>1</v>
      </c>
    </row>
    <row r="92" spans="1:5" ht="12" customHeight="1" x14ac:dyDescent="0.3">
      <c r="A92" s="7" t="s">
        <v>4</v>
      </c>
      <c r="B92" s="7" t="s">
        <v>25</v>
      </c>
      <c r="C92" s="7">
        <v>13</v>
      </c>
      <c r="D92" s="7" t="s">
        <v>145</v>
      </c>
      <c r="E92" s="15">
        <v>1</v>
      </c>
    </row>
    <row r="93" spans="1:5" ht="12" customHeight="1" x14ac:dyDescent="0.3">
      <c r="A93" s="7" t="s">
        <v>4</v>
      </c>
      <c r="B93" s="7" t="s">
        <v>25</v>
      </c>
      <c r="C93" s="7">
        <v>14</v>
      </c>
      <c r="D93" s="7" t="s">
        <v>146</v>
      </c>
      <c r="E93" s="15">
        <v>1</v>
      </c>
    </row>
    <row r="94" spans="1:5" ht="12" customHeight="1" x14ac:dyDescent="0.3">
      <c r="A94" s="7" t="s">
        <v>4</v>
      </c>
      <c r="B94" s="7" t="s">
        <v>25</v>
      </c>
      <c r="C94" s="7">
        <v>15</v>
      </c>
      <c r="D94" s="7" t="s">
        <v>147</v>
      </c>
      <c r="E94" s="15">
        <v>1</v>
      </c>
    </row>
    <row r="95" spans="1:5" ht="12" customHeight="1" x14ac:dyDescent="0.3">
      <c r="A95" s="7" t="s">
        <v>4</v>
      </c>
      <c r="B95" s="7" t="s">
        <v>25</v>
      </c>
      <c r="C95" s="7">
        <v>16</v>
      </c>
      <c r="D95" s="7" t="s">
        <v>148</v>
      </c>
      <c r="E95" s="15">
        <v>1</v>
      </c>
    </row>
    <row r="96" spans="1:5" ht="12" customHeight="1" x14ac:dyDescent="0.3">
      <c r="A96" s="7" t="s">
        <v>4</v>
      </c>
      <c r="B96" s="7" t="s">
        <v>25</v>
      </c>
      <c r="C96" s="7">
        <v>17</v>
      </c>
      <c r="D96" s="7" t="s">
        <v>149</v>
      </c>
      <c r="E96" s="15">
        <v>1</v>
      </c>
    </row>
    <row r="97" spans="1:5" ht="12" customHeight="1" x14ac:dyDescent="0.3">
      <c r="A97" s="7" t="s">
        <v>4</v>
      </c>
      <c r="B97" s="7" t="s">
        <v>25</v>
      </c>
      <c r="C97" s="7">
        <v>18</v>
      </c>
      <c r="D97" s="7" t="s">
        <v>150</v>
      </c>
      <c r="E97" s="15">
        <v>1</v>
      </c>
    </row>
    <row r="98" spans="1:5" ht="12" customHeight="1" x14ac:dyDescent="0.3">
      <c r="A98" s="7" t="s">
        <v>4</v>
      </c>
      <c r="B98" s="7" t="s">
        <v>25</v>
      </c>
      <c r="C98" s="7">
        <v>19</v>
      </c>
      <c r="D98" s="7" t="s">
        <v>151</v>
      </c>
      <c r="E98" s="15">
        <v>1</v>
      </c>
    </row>
    <row r="99" spans="1:5" ht="12" customHeight="1" x14ac:dyDescent="0.3">
      <c r="A99" s="7" t="s">
        <v>4</v>
      </c>
      <c r="B99" s="7" t="s">
        <v>25</v>
      </c>
      <c r="C99" s="7">
        <v>20</v>
      </c>
      <c r="D99" s="7" t="s">
        <v>152</v>
      </c>
      <c r="E99" s="15">
        <v>1</v>
      </c>
    </row>
    <row r="100" spans="1:5" ht="12" customHeight="1" x14ac:dyDescent="0.3">
      <c r="A100" s="7" t="s">
        <v>4</v>
      </c>
      <c r="B100" s="7" t="s">
        <v>25</v>
      </c>
      <c r="C100" s="7">
        <v>21</v>
      </c>
      <c r="D100" s="7" t="s">
        <v>153</v>
      </c>
      <c r="E100" s="15">
        <v>1</v>
      </c>
    </row>
    <row r="101" spans="1:5" ht="12" customHeight="1" x14ac:dyDescent="0.3">
      <c r="A101" s="7" t="s">
        <v>4</v>
      </c>
      <c r="B101" s="7" t="s">
        <v>25</v>
      </c>
      <c r="C101" s="7">
        <v>22</v>
      </c>
      <c r="D101" s="7" t="s">
        <v>154</v>
      </c>
      <c r="E101" s="15">
        <v>1</v>
      </c>
    </row>
    <row r="102" spans="1:5" ht="12" customHeight="1" x14ac:dyDescent="0.3">
      <c r="A102" s="7" t="s">
        <v>4</v>
      </c>
      <c r="B102" s="7" t="s">
        <v>25</v>
      </c>
      <c r="C102" s="7">
        <v>23</v>
      </c>
      <c r="D102" s="7" t="s">
        <v>155</v>
      </c>
      <c r="E102" s="15">
        <v>1</v>
      </c>
    </row>
    <row r="103" spans="1:5" ht="12" customHeight="1" x14ac:dyDescent="0.3">
      <c r="A103" s="7" t="s">
        <v>4</v>
      </c>
      <c r="B103" s="7" t="s">
        <v>25</v>
      </c>
      <c r="C103" s="7">
        <v>24</v>
      </c>
      <c r="D103" s="7" t="s">
        <v>156</v>
      </c>
      <c r="E103" s="15">
        <v>1</v>
      </c>
    </row>
    <row r="104" spans="1:5" ht="12" customHeight="1" x14ac:dyDescent="0.3">
      <c r="A104" s="7" t="s">
        <v>4</v>
      </c>
      <c r="B104" s="7" t="s">
        <v>25</v>
      </c>
      <c r="C104" s="7">
        <v>25</v>
      </c>
      <c r="D104" s="7" t="s">
        <v>157</v>
      </c>
      <c r="E104" s="15">
        <v>1</v>
      </c>
    </row>
    <row r="105" spans="1:5" ht="12" customHeight="1" x14ac:dyDescent="0.3">
      <c r="A105" s="7" t="s">
        <v>4</v>
      </c>
      <c r="B105" s="7" t="s">
        <v>25</v>
      </c>
      <c r="C105" s="7">
        <v>26</v>
      </c>
      <c r="D105" s="7" t="s">
        <v>158</v>
      </c>
      <c r="E105" s="15">
        <v>1</v>
      </c>
    </row>
    <row r="106" spans="1:5" ht="12" customHeight="1" x14ac:dyDescent="0.3">
      <c r="A106" s="7" t="s">
        <v>4</v>
      </c>
      <c r="B106" s="7" t="s">
        <v>25</v>
      </c>
      <c r="C106" s="7">
        <v>27</v>
      </c>
      <c r="D106" s="7" t="s">
        <v>159</v>
      </c>
      <c r="E106" s="15">
        <v>1</v>
      </c>
    </row>
    <row r="107" spans="1:5" ht="12" customHeight="1" x14ac:dyDescent="0.3">
      <c r="A107" s="7" t="s">
        <v>4</v>
      </c>
      <c r="B107" s="7" t="s">
        <v>25</v>
      </c>
      <c r="C107" s="7">
        <v>28</v>
      </c>
      <c r="D107" s="7" t="s">
        <v>160</v>
      </c>
      <c r="E107" s="15">
        <v>1</v>
      </c>
    </row>
    <row r="108" spans="1:5" ht="12" customHeight="1" x14ac:dyDescent="0.3">
      <c r="A108" s="7" t="s">
        <v>4</v>
      </c>
      <c r="B108" s="7" t="s">
        <v>25</v>
      </c>
      <c r="C108" s="7">
        <v>29</v>
      </c>
      <c r="D108" s="7" t="s">
        <v>161</v>
      </c>
      <c r="E108" s="15">
        <v>1</v>
      </c>
    </row>
    <row r="109" spans="1:5" ht="12" customHeight="1" x14ac:dyDescent="0.3">
      <c r="A109" s="7" t="s">
        <v>4</v>
      </c>
      <c r="B109" s="7" t="s">
        <v>25</v>
      </c>
      <c r="C109" s="7">
        <v>30</v>
      </c>
      <c r="D109" s="7" t="s">
        <v>162</v>
      </c>
      <c r="E109" s="15">
        <v>1</v>
      </c>
    </row>
    <row r="110" spans="1:5" ht="12" customHeight="1" x14ac:dyDescent="0.3">
      <c r="A110" s="7" t="s">
        <v>4</v>
      </c>
      <c r="B110" s="7" t="s">
        <v>25</v>
      </c>
      <c r="C110" s="7">
        <v>31</v>
      </c>
      <c r="D110" s="7" t="s">
        <v>163</v>
      </c>
      <c r="E110" s="15">
        <v>1</v>
      </c>
    </row>
    <row r="111" spans="1:5" ht="12" customHeight="1" x14ac:dyDescent="0.3">
      <c r="A111" s="7" t="s">
        <v>4</v>
      </c>
      <c r="B111" s="7" t="s">
        <v>25</v>
      </c>
      <c r="C111" s="7">
        <v>32</v>
      </c>
      <c r="D111" s="7" t="s">
        <v>164</v>
      </c>
      <c r="E111" s="15">
        <v>1</v>
      </c>
    </row>
    <row r="112" spans="1:5" ht="12" customHeight="1" x14ac:dyDescent="0.3">
      <c r="A112" s="7" t="s">
        <v>4</v>
      </c>
      <c r="B112" s="7" t="s">
        <v>25</v>
      </c>
      <c r="C112" s="7">
        <v>33</v>
      </c>
      <c r="D112" s="7" t="s">
        <v>165</v>
      </c>
      <c r="E112" s="15">
        <v>1</v>
      </c>
    </row>
    <row r="113" spans="1:5" ht="12" customHeight="1" x14ac:dyDescent="0.3">
      <c r="A113" s="7" t="s">
        <v>4</v>
      </c>
      <c r="B113" s="7" t="s">
        <v>25</v>
      </c>
      <c r="C113" s="7">
        <v>34</v>
      </c>
      <c r="D113" s="7" t="s">
        <v>166</v>
      </c>
      <c r="E113" s="15">
        <v>1</v>
      </c>
    </row>
    <row r="114" spans="1:5" ht="12" customHeight="1" x14ac:dyDescent="0.3">
      <c r="A114" s="7" t="s">
        <v>4</v>
      </c>
      <c r="B114" s="7" t="s">
        <v>25</v>
      </c>
      <c r="C114" s="7">
        <v>35</v>
      </c>
      <c r="D114" s="7" t="s">
        <v>167</v>
      </c>
      <c r="E114" s="15">
        <v>1</v>
      </c>
    </row>
    <row r="115" spans="1:5" ht="12" customHeight="1" x14ac:dyDescent="0.3">
      <c r="A115" s="7" t="s">
        <v>4</v>
      </c>
      <c r="B115" s="7" t="s">
        <v>26</v>
      </c>
      <c r="C115" s="7">
        <v>0</v>
      </c>
      <c r="D115" s="7" t="s">
        <v>168</v>
      </c>
      <c r="E115" s="15">
        <v>4.7576E-2</v>
      </c>
    </row>
    <row r="116" spans="1:5" ht="12" customHeight="1" x14ac:dyDescent="0.3">
      <c r="A116" s="7" t="s">
        <v>4</v>
      </c>
      <c r="B116" s="7" t="s">
        <v>26</v>
      </c>
      <c r="C116" s="7">
        <v>1</v>
      </c>
      <c r="D116" s="7" t="s">
        <v>169</v>
      </c>
      <c r="E116" s="15">
        <v>0.56863799999999998</v>
      </c>
    </row>
    <row r="117" spans="1:5" ht="12" customHeight="1" x14ac:dyDescent="0.3">
      <c r="A117" s="7" t="s">
        <v>4</v>
      </c>
      <c r="B117" s="7" t="s">
        <v>26</v>
      </c>
      <c r="C117" s="7">
        <v>2</v>
      </c>
      <c r="D117" s="7" t="s">
        <v>170</v>
      </c>
      <c r="E117" s="15">
        <v>0.76142200000000004</v>
      </c>
    </row>
    <row r="118" spans="1:5" ht="12" customHeight="1" x14ac:dyDescent="0.3">
      <c r="A118" s="7" t="s">
        <v>4</v>
      </c>
      <c r="B118" s="7" t="s">
        <v>26</v>
      </c>
      <c r="C118" s="7">
        <v>3</v>
      </c>
      <c r="D118" s="7" t="s">
        <v>171</v>
      </c>
      <c r="E118" s="15">
        <v>0.85727600000000004</v>
      </c>
    </row>
    <row r="119" spans="1:5" ht="12" customHeight="1" x14ac:dyDescent="0.3">
      <c r="A119" s="7" t="s">
        <v>4</v>
      </c>
      <c r="B119" s="7" t="s">
        <v>26</v>
      </c>
      <c r="C119" s="7">
        <v>4</v>
      </c>
      <c r="D119" s="7" t="s">
        <v>172</v>
      </c>
      <c r="E119" s="15">
        <v>0.90603</v>
      </c>
    </row>
    <row r="120" spans="1:5" ht="12" customHeight="1" x14ac:dyDescent="0.3">
      <c r="A120" s="7" t="s">
        <v>4</v>
      </c>
      <c r="B120" s="7" t="s">
        <v>26</v>
      </c>
      <c r="C120" s="7">
        <v>5</v>
      </c>
      <c r="D120" s="7" t="s">
        <v>173</v>
      </c>
      <c r="E120" s="15">
        <v>0.93115499999999995</v>
      </c>
    </row>
    <row r="121" spans="1:5" ht="12" customHeight="1" x14ac:dyDescent="0.3">
      <c r="A121" s="7" t="s">
        <v>4</v>
      </c>
      <c r="B121" s="7" t="s">
        <v>26</v>
      </c>
      <c r="C121" s="7">
        <v>6</v>
      </c>
      <c r="D121" s="7" t="s">
        <v>174</v>
      </c>
      <c r="E121" s="15">
        <v>0.95676600000000001</v>
      </c>
    </row>
    <row r="122" spans="1:5" ht="12" customHeight="1" x14ac:dyDescent="0.3">
      <c r="A122" s="7" t="s">
        <v>4</v>
      </c>
      <c r="B122" s="7" t="s">
        <v>26</v>
      </c>
      <c r="C122" s="7">
        <v>7</v>
      </c>
      <c r="D122" s="7" t="s">
        <v>175</v>
      </c>
      <c r="E122" s="15">
        <v>0.97376099999999999</v>
      </c>
    </row>
    <row r="123" spans="1:5" ht="12" customHeight="1" x14ac:dyDescent="0.3">
      <c r="A123" s="7" t="s">
        <v>4</v>
      </c>
      <c r="B123" s="7" t="s">
        <v>26</v>
      </c>
      <c r="C123" s="7">
        <v>8</v>
      </c>
      <c r="D123" s="7" t="s">
        <v>176</v>
      </c>
      <c r="E123" s="15">
        <v>0.986039</v>
      </c>
    </row>
    <row r="124" spans="1:5" ht="12" customHeight="1" x14ac:dyDescent="0.3">
      <c r="A124" s="7" t="s">
        <v>4</v>
      </c>
      <c r="B124" s="7" t="s">
        <v>26</v>
      </c>
      <c r="C124" s="7">
        <v>9</v>
      </c>
      <c r="D124" s="7" t="s">
        <v>177</v>
      </c>
      <c r="E124" s="15">
        <v>0.99387099999999995</v>
      </c>
    </row>
    <row r="125" spans="1:5" ht="12" customHeight="1" x14ac:dyDescent="0.3">
      <c r="A125" s="7" t="s">
        <v>4</v>
      </c>
      <c r="B125" s="7" t="s">
        <v>26</v>
      </c>
      <c r="C125" s="7">
        <v>10</v>
      </c>
      <c r="D125" s="7" t="s">
        <v>178</v>
      </c>
      <c r="E125" s="15">
        <v>1</v>
      </c>
    </row>
    <row r="126" spans="1:5" ht="12" customHeight="1" x14ac:dyDescent="0.3">
      <c r="A126" s="7" t="s">
        <v>4</v>
      </c>
      <c r="B126" s="7" t="s">
        <v>26</v>
      </c>
      <c r="C126" s="7">
        <v>11</v>
      </c>
      <c r="D126" s="7" t="s">
        <v>179</v>
      </c>
      <c r="E126" s="15">
        <v>1</v>
      </c>
    </row>
    <row r="127" spans="1:5" ht="12" customHeight="1" x14ac:dyDescent="0.3">
      <c r="A127" s="7" t="s">
        <v>4</v>
      </c>
      <c r="B127" s="7" t="s">
        <v>26</v>
      </c>
      <c r="C127" s="7">
        <v>12</v>
      </c>
      <c r="D127" s="7" t="s">
        <v>180</v>
      </c>
      <c r="E127" s="15">
        <v>1</v>
      </c>
    </row>
    <row r="128" spans="1:5" ht="12" customHeight="1" x14ac:dyDescent="0.3">
      <c r="A128" s="7" t="s">
        <v>4</v>
      </c>
      <c r="B128" s="7" t="s">
        <v>26</v>
      </c>
      <c r="C128" s="7">
        <v>13</v>
      </c>
      <c r="D128" s="7" t="s">
        <v>181</v>
      </c>
      <c r="E128" s="15">
        <v>1</v>
      </c>
    </row>
    <row r="129" spans="1:5" ht="12" customHeight="1" x14ac:dyDescent="0.3">
      <c r="A129" s="7" t="s">
        <v>4</v>
      </c>
      <c r="B129" s="7" t="s">
        <v>26</v>
      </c>
      <c r="C129" s="7">
        <v>14</v>
      </c>
      <c r="D129" s="7" t="s">
        <v>182</v>
      </c>
      <c r="E129" s="15">
        <v>1</v>
      </c>
    </row>
    <row r="130" spans="1:5" ht="12" customHeight="1" x14ac:dyDescent="0.3">
      <c r="A130" s="7" t="s">
        <v>4</v>
      </c>
      <c r="B130" s="7" t="s">
        <v>26</v>
      </c>
      <c r="C130" s="7">
        <v>15</v>
      </c>
      <c r="D130" s="7" t="s">
        <v>183</v>
      </c>
      <c r="E130" s="15">
        <v>1</v>
      </c>
    </row>
    <row r="131" spans="1:5" ht="12" customHeight="1" x14ac:dyDescent="0.3">
      <c r="A131" s="7" t="s">
        <v>4</v>
      </c>
      <c r="B131" s="7" t="s">
        <v>26</v>
      </c>
      <c r="C131" s="7">
        <v>16</v>
      </c>
      <c r="D131" s="7" t="s">
        <v>184</v>
      </c>
      <c r="E131" s="15">
        <v>1</v>
      </c>
    </row>
    <row r="132" spans="1:5" ht="12" customHeight="1" x14ac:dyDescent="0.3">
      <c r="A132" s="7" t="s">
        <v>4</v>
      </c>
      <c r="B132" s="7" t="s">
        <v>26</v>
      </c>
      <c r="C132" s="7">
        <v>17</v>
      </c>
      <c r="D132" s="7" t="s">
        <v>185</v>
      </c>
      <c r="E132" s="15">
        <v>1</v>
      </c>
    </row>
    <row r="133" spans="1:5" ht="12" customHeight="1" x14ac:dyDescent="0.3">
      <c r="A133" s="7" t="s">
        <v>4</v>
      </c>
      <c r="B133" s="7" t="s">
        <v>26</v>
      </c>
      <c r="C133" s="7">
        <v>18</v>
      </c>
      <c r="D133" s="7" t="s">
        <v>186</v>
      </c>
      <c r="E133" s="15">
        <v>1</v>
      </c>
    </row>
    <row r="134" spans="1:5" ht="12" customHeight="1" x14ac:dyDescent="0.3">
      <c r="A134" s="7" t="s">
        <v>4</v>
      </c>
      <c r="B134" s="7" t="s">
        <v>26</v>
      </c>
      <c r="C134" s="7">
        <v>19</v>
      </c>
      <c r="D134" s="7" t="s">
        <v>187</v>
      </c>
      <c r="E134" s="15">
        <v>1</v>
      </c>
    </row>
    <row r="135" spans="1:5" ht="12" customHeight="1" x14ac:dyDescent="0.3">
      <c r="A135" s="7" t="s">
        <v>4</v>
      </c>
      <c r="B135" s="7" t="s">
        <v>26</v>
      </c>
      <c r="C135" s="7">
        <v>20</v>
      </c>
      <c r="D135" s="7" t="s">
        <v>188</v>
      </c>
      <c r="E135" s="15">
        <v>1</v>
      </c>
    </row>
    <row r="136" spans="1:5" ht="12" customHeight="1" x14ac:dyDescent="0.3">
      <c r="A136" s="7" t="s">
        <v>4</v>
      </c>
      <c r="B136" s="7" t="s">
        <v>26</v>
      </c>
      <c r="C136" s="7">
        <v>21</v>
      </c>
      <c r="D136" s="7" t="s">
        <v>189</v>
      </c>
      <c r="E136" s="15">
        <v>1</v>
      </c>
    </row>
    <row r="137" spans="1:5" ht="12" customHeight="1" x14ac:dyDescent="0.3">
      <c r="A137" s="7" t="s">
        <v>4</v>
      </c>
      <c r="B137" s="7" t="s">
        <v>26</v>
      </c>
      <c r="C137" s="7">
        <v>22</v>
      </c>
      <c r="D137" s="7" t="s">
        <v>190</v>
      </c>
      <c r="E137" s="15">
        <v>1</v>
      </c>
    </row>
    <row r="138" spans="1:5" ht="12" customHeight="1" x14ac:dyDescent="0.3">
      <c r="A138" s="7" t="s">
        <v>4</v>
      </c>
      <c r="B138" s="7" t="s">
        <v>26</v>
      </c>
      <c r="C138" s="7">
        <v>23</v>
      </c>
      <c r="D138" s="7" t="s">
        <v>191</v>
      </c>
      <c r="E138" s="15">
        <v>1</v>
      </c>
    </row>
    <row r="139" spans="1:5" ht="12" customHeight="1" x14ac:dyDescent="0.3">
      <c r="A139" s="7" t="s">
        <v>4</v>
      </c>
      <c r="B139" s="7" t="s">
        <v>26</v>
      </c>
      <c r="C139" s="7">
        <v>24</v>
      </c>
      <c r="D139" s="7" t="s">
        <v>192</v>
      </c>
      <c r="E139" s="15">
        <v>1</v>
      </c>
    </row>
    <row r="140" spans="1:5" ht="12" customHeight="1" x14ac:dyDescent="0.3">
      <c r="A140" s="7" t="s">
        <v>4</v>
      </c>
      <c r="B140" s="7" t="s">
        <v>26</v>
      </c>
      <c r="C140" s="7">
        <v>25</v>
      </c>
      <c r="D140" s="7" t="s">
        <v>193</v>
      </c>
      <c r="E140" s="15">
        <v>1</v>
      </c>
    </row>
    <row r="141" spans="1:5" ht="12" customHeight="1" x14ac:dyDescent="0.3">
      <c r="A141" s="7" t="s">
        <v>4</v>
      </c>
      <c r="B141" s="7" t="s">
        <v>26</v>
      </c>
      <c r="C141" s="7">
        <v>26</v>
      </c>
      <c r="D141" s="7" t="s">
        <v>194</v>
      </c>
      <c r="E141" s="15">
        <v>1</v>
      </c>
    </row>
    <row r="142" spans="1:5" ht="12" customHeight="1" x14ac:dyDescent="0.3">
      <c r="A142" s="7" t="s">
        <v>4</v>
      </c>
      <c r="B142" s="7" t="s">
        <v>26</v>
      </c>
      <c r="C142" s="7">
        <v>27</v>
      </c>
      <c r="D142" s="7" t="s">
        <v>195</v>
      </c>
      <c r="E142" s="15">
        <v>1</v>
      </c>
    </row>
    <row r="143" spans="1:5" ht="12" customHeight="1" x14ac:dyDescent="0.3">
      <c r="A143" s="7" t="s">
        <v>4</v>
      </c>
      <c r="B143" s="7" t="s">
        <v>26</v>
      </c>
      <c r="C143" s="7">
        <v>28</v>
      </c>
      <c r="D143" s="7" t="s">
        <v>196</v>
      </c>
      <c r="E143" s="15">
        <v>1</v>
      </c>
    </row>
    <row r="144" spans="1:5" ht="12" customHeight="1" x14ac:dyDescent="0.3">
      <c r="A144" s="7" t="s">
        <v>4</v>
      </c>
      <c r="B144" s="7" t="s">
        <v>26</v>
      </c>
      <c r="C144" s="7">
        <v>29</v>
      </c>
      <c r="D144" s="7" t="s">
        <v>197</v>
      </c>
      <c r="E144" s="15">
        <v>1</v>
      </c>
    </row>
    <row r="145" spans="1:5" ht="12" customHeight="1" x14ac:dyDescent="0.3">
      <c r="A145" s="7" t="s">
        <v>4</v>
      </c>
      <c r="B145" s="7" t="s">
        <v>26</v>
      </c>
      <c r="C145" s="7">
        <v>30</v>
      </c>
      <c r="D145" s="7" t="s">
        <v>198</v>
      </c>
      <c r="E145" s="15">
        <v>1</v>
      </c>
    </row>
    <row r="146" spans="1:5" ht="12" customHeight="1" x14ac:dyDescent="0.3">
      <c r="A146" s="7" t="s">
        <v>4</v>
      </c>
      <c r="B146" s="7" t="s">
        <v>26</v>
      </c>
      <c r="C146" s="7">
        <v>31</v>
      </c>
      <c r="D146" s="7" t="s">
        <v>199</v>
      </c>
      <c r="E146" s="15">
        <v>1</v>
      </c>
    </row>
    <row r="147" spans="1:5" ht="12" customHeight="1" x14ac:dyDescent="0.3">
      <c r="A147" s="7" t="s">
        <v>4</v>
      </c>
      <c r="B147" s="7" t="s">
        <v>26</v>
      </c>
      <c r="C147" s="7">
        <v>32</v>
      </c>
      <c r="D147" s="7" t="s">
        <v>200</v>
      </c>
      <c r="E147" s="15">
        <v>1</v>
      </c>
    </row>
    <row r="148" spans="1:5" ht="12" customHeight="1" x14ac:dyDescent="0.3">
      <c r="A148" s="7" t="s">
        <v>4</v>
      </c>
      <c r="B148" s="7" t="s">
        <v>26</v>
      </c>
      <c r="C148" s="7">
        <v>33</v>
      </c>
      <c r="D148" s="7" t="s">
        <v>201</v>
      </c>
      <c r="E148" s="15">
        <v>1</v>
      </c>
    </row>
    <row r="149" spans="1:5" ht="12" customHeight="1" x14ac:dyDescent="0.3">
      <c r="A149" s="7" t="s">
        <v>4</v>
      </c>
      <c r="B149" s="7" t="s">
        <v>26</v>
      </c>
      <c r="C149" s="7">
        <v>34</v>
      </c>
      <c r="D149" s="7" t="s">
        <v>202</v>
      </c>
      <c r="E149" s="15">
        <v>1</v>
      </c>
    </row>
    <row r="150" spans="1:5" ht="12" customHeight="1" x14ac:dyDescent="0.3">
      <c r="A150" s="7" t="s">
        <v>4</v>
      </c>
      <c r="B150" s="7" t="s">
        <v>26</v>
      </c>
      <c r="C150" s="7">
        <v>35</v>
      </c>
      <c r="D150" s="7" t="s">
        <v>203</v>
      </c>
      <c r="E150" s="15">
        <v>1</v>
      </c>
    </row>
    <row r="151" spans="1:5" ht="12" customHeight="1" x14ac:dyDescent="0.3">
      <c r="A151" s="7"/>
      <c r="B151" s="7"/>
      <c r="C151" s="7"/>
      <c r="D151" s="7"/>
      <c r="E151" s="15"/>
    </row>
    <row r="152" spans="1:5" ht="12" customHeight="1" x14ac:dyDescent="0.3">
      <c r="A152" s="7"/>
      <c r="B152" s="7"/>
      <c r="C152" s="7"/>
      <c r="D152" s="7"/>
      <c r="E152" s="15"/>
    </row>
    <row r="153" spans="1:5" ht="12" customHeight="1" x14ac:dyDescent="0.3">
      <c r="A153" s="7"/>
      <c r="B153" s="7"/>
      <c r="C153" s="7"/>
      <c r="D153" s="7"/>
      <c r="E153" s="15"/>
    </row>
    <row r="154" spans="1:5" ht="12" customHeight="1" x14ac:dyDescent="0.3">
      <c r="A154" s="7"/>
      <c r="B154" s="7"/>
      <c r="C154" s="7"/>
      <c r="D154" s="7"/>
      <c r="E154" s="15"/>
    </row>
    <row r="155" spans="1:5" ht="12" customHeight="1" x14ac:dyDescent="0.3">
      <c r="A155" s="7"/>
      <c r="B155" s="7"/>
      <c r="C155" s="7"/>
      <c r="D155" s="7"/>
      <c r="E15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9126A-B7D7-4807-817F-FD26B9C8E6C7}">
  <dimension ref="B1:X27"/>
  <sheetViews>
    <sheetView tabSelected="1" zoomScale="130" zoomScaleNormal="130" workbookViewId="0"/>
  </sheetViews>
  <sheetFormatPr defaultRowHeight="12" x14ac:dyDescent="0.3"/>
  <cols>
    <col min="1" max="1" width="1.6328125" style="27" customWidth="1"/>
    <col min="2" max="2" width="8.7265625" style="27"/>
    <col min="3" max="3" width="1.6328125" style="27" customWidth="1"/>
    <col min="4" max="15" width="8.6328125" style="27" customWidth="1"/>
    <col min="16" max="16" width="1.6328125" style="27" customWidth="1"/>
    <col min="17" max="17" width="8.6328125" style="27" customWidth="1"/>
    <col min="18" max="18" width="1.6328125" style="27" customWidth="1"/>
    <col min="19" max="22" width="8.6328125" style="27" customWidth="1"/>
    <col min="23" max="23" width="1.6328125" style="27" customWidth="1"/>
    <col min="24" max="24" width="8.6328125" style="27" customWidth="1"/>
    <col min="25" max="16384" width="8.7265625" style="27"/>
  </cols>
  <sheetData>
    <row r="1" spans="2:24" ht="5" customHeight="1" x14ac:dyDescent="0.3"/>
    <row r="2" spans="2:24" ht="5" customHeight="1" x14ac:dyDescent="0.3"/>
    <row r="3" spans="2:24" ht="35" customHeight="1" thickBot="1" x14ac:dyDescent="0.35"/>
    <row r="4" spans="2:24" ht="28.5" x14ac:dyDescent="0.3">
      <c r="B4" s="55" t="s">
        <v>205</v>
      </c>
      <c r="C4" s="56"/>
      <c r="D4" s="56"/>
      <c r="E4" s="56"/>
      <c r="F4" s="56"/>
      <c r="G4" s="56"/>
      <c r="H4" s="56"/>
      <c r="I4" s="56"/>
      <c r="J4" s="56"/>
      <c r="K4" s="56"/>
      <c r="L4" s="56"/>
      <c r="M4" s="56"/>
      <c r="N4" s="56"/>
      <c r="O4" s="56"/>
      <c r="P4" s="56"/>
      <c r="Q4" s="56"/>
      <c r="R4" s="56"/>
      <c r="S4" s="56"/>
      <c r="T4" s="56"/>
      <c r="U4" s="56"/>
      <c r="V4" s="56"/>
      <c r="W4" s="56"/>
      <c r="X4" s="57"/>
    </row>
    <row r="5" spans="2:24" ht="12.5" thickBot="1" x14ac:dyDescent="0.35">
      <c r="B5" s="58" t="str">
        <f>"Data incurred thru "&amp;TEXT(incurred_date,"mmmyy")&amp;"; paid thru "&amp;TEXT(close_date,"mmmyy")</f>
        <v>Data incurred thru Sep25; paid thru Nov25</v>
      </c>
      <c r="C5" s="59"/>
      <c r="D5" s="59"/>
      <c r="E5" s="59"/>
      <c r="F5" s="59"/>
      <c r="G5" s="59"/>
      <c r="H5" s="59"/>
      <c r="I5" s="59"/>
      <c r="J5" s="59"/>
      <c r="K5" s="59"/>
      <c r="L5" s="59"/>
      <c r="M5" s="59"/>
      <c r="N5" s="59"/>
      <c r="O5" s="59"/>
      <c r="P5" s="59"/>
      <c r="Q5" s="59"/>
      <c r="R5" s="59"/>
      <c r="S5" s="59"/>
      <c r="T5" s="59"/>
      <c r="U5" s="59"/>
      <c r="V5" s="59"/>
      <c r="W5" s="59"/>
      <c r="X5" s="60"/>
    </row>
    <row r="6" spans="2:24" ht="5" customHeight="1" x14ac:dyDescent="0.3"/>
    <row r="21" spans="2:24" ht="5" customHeight="1" thickBot="1" x14ac:dyDescent="0.35"/>
    <row r="22" spans="2:24" s="28" customFormat="1" ht="12.5" thickBot="1" x14ac:dyDescent="0.35">
      <c r="D22" s="34" t="s">
        <v>35</v>
      </c>
      <c r="E22" s="35" t="s">
        <v>36</v>
      </c>
      <c r="F22" s="35" t="s">
        <v>37</v>
      </c>
      <c r="G22" s="35" t="s">
        <v>38</v>
      </c>
      <c r="H22" s="35" t="s">
        <v>39</v>
      </c>
      <c r="I22" s="35" t="s">
        <v>40</v>
      </c>
      <c r="J22" s="35" t="s">
        <v>41</v>
      </c>
      <c r="K22" s="35" t="s">
        <v>42</v>
      </c>
      <c r="L22" s="35" t="s">
        <v>43</v>
      </c>
      <c r="M22" s="35" t="s">
        <v>44</v>
      </c>
      <c r="N22" s="35" t="s">
        <v>45</v>
      </c>
      <c r="O22" s="36" t="s">
        <v>46</v>
      </c>
      <c r="P22" s="29"/>
      <c r="Q22" s="37" t="str">
        <f>TEXT(incurred_date,"mmm")&amp;" YTD"</f>
        <v>Sep YTD</v>
      </c>
      <c r="R22" s="29"/>
      <c r="S22" s="34" t="s">
        <v>53</v>
      </c>
      <c r="T22" s="35" t="s">
        <v>54</v>
      </c>
      <c r="U22" s="35" t="s">
        <v>55</v>
      </c>
      <c r="V22" s="50" t="s">
        <v>56</v>
      </c>
      <c r="W22" s="29"/>
      <c r="X22" s="37" t="s">
        <v>29</v>
      </c>
    </row>
    <row r="23" spans="2:24" s="28" customFormat="1" ht="5" customHeight="1" thickBot="1" x14ac:dyDescent="0.35">
      <c r="D23" s="29"/>
      <c r="E23" s="29"/>
      <c r="F23" s="29"/>
      <c r="G23" s="29"/>
      <c r="H23" s="29"/>
      <c r="I23" s="29"/>
      <c r="J23" s="29"/>
      <c r="K23" s="29"/>
      <c r="L23" s="29"/>
      <c r="M23" s="29"/>
      <c r="N23" s="29"/>
      <c r="O23" s="29"/>
      <c r="P23" s="29"/>
      <c r="Q23" s="29"/>
      <c r="R23" s="29"/>
      <c r="S23" s="29"/>
      <c r="T23" s="29"/>
      <c r="U23" s="29"/>
      <c r="W23" s="29"/>
      <c r="X23" s="29"/>
    </row>
    <row r="24" spans="2:24" x14ac:dyDescent="0.3">
      <c r="B24" s="31">
        <v>2024</v>
      </c>
      <c r="D24" s="44">
        <f>calcs!E17</f>
        <v>897.48534106685588</v>
      </c>
      <c r="E24" s="45">
        <f>calcs!F17</f>
        <v>885.87087528873087</v>
      </c>
      <c r="F24" s="45">
        <f>calcs!G17</f>
        <v>889.19719244039345</v>
      </c>
      <c r="G24" s="45">
        <f>calcs!H17</f>
        <v>845.46522000821687</v>
      </c>
      <c r="H24" s="45">
        <f>calcs!I17</f>
        <v>843.33472944763946</v>
      </c>
      <c r="I24" s="45">
        <f>calcs!J17</f>
        <v>815.5070835206144</v>
      </c>
      <c r="J24" s="45">
        <f>calcs!K17</f>
        <v>801.26273990451659</v>
      </c>
      <c r="K24" s="45">
        <f>calcs!L17</f>
        <v>793.53745006054805</v>
      </c>
      <c r="L24" s="45">
        <f>calcs!M17</f>
        <v>843.60765863221297</v>
      </c>
      <c r="M24" s="45">
        <f>calcs!N17</f>
        <v>861.05697891771513</v>
      </c>
      <c r="N24" s="45">
        <f>calcs!O17</f>
        <v>940.50403356987454</v>
      </c>
      <c r="O24" s="46">
        <f>calcs!P17</f>
        <v>960.31145487747654</v>
      </c>
      <c r="Q24" s="38">
        <f>calcs!R17</f>
        <v>846.02078229905089</v>
      </c>
      <c r="S24" s="44">
        <f>calcs!T17</f>
        <v>890.8416730326926</v>
      </c>
      <c r="T24" s="45">
        <f>calcs!U17</f>
        <v>834.74473513369605</v>
      </c>
      <c r="U24" s="45">
        <f>calcs!V17</f>
        <v>812.82287608024217</v>
      </c>
      <c r="V24" s="46">
        <f>calcs!W17</f>
        <v>920.58503988626228</v>
      </c>
      <c r="X24" s="38">
        <f>calcs!Y17</f>
        <v>864.72575942439039</v>
      </c>
    </row>
    <row r="25" spans="2:24" ht="12.5" thickBot="1" x14ac:dyDescent="0.35">
      <c r="B25" s="32">
        <v>2025</v>
      </c>
      <c r="D25" s="47">
        <f>calcs!E18</f>
        <v>937.92434633626749</v>
      </c>
      <c r="E25" s="48">
        <f>calcs!F18</f>
        <v>941.40889062413407</v>
      </c>
      <c r="F25" s="48">
        <f>calcs!G18</f>
        <v>904.63207513464306</v>
      </c>
      <c r="G25" s="48">
        <f>calcs!H18</f>
        <v>895.34065925942889</v>
      </c>
      <c r="H25" s="48">
        <f>calcs!I18</f>
        <v>847.35378552287864</v>
      </c>
      <c r="I25" s="48">
        <f>calcs!J18</f>
        <v>830.25076864609809</v>
      </c>
      <c r="J25" s="48">
        <f>calcs!K18</f>
        <v>884.93945802948053</v>
      </c>
      <c r="K25" s="48">
        <f>calcs!L18</f>
        <v>840.81595613153036</v>
      </c>
      <c r="L25" s="48">
        <f>calcs!M18</f>
        <v>907.56945919873908</v>
      </c>
      <c r="M25" s="48" t="str">
        <f>calcs!N18</f>
        <v/>
      </c>
      <c r="N25" s="48" t="str">
        <f>calcs!O18</f>
        <v/>
      </c>
      <c r="O25" s="49" t="str">
        <f>calcs!P18</f>
        <v/>
      </c>
      <c r="Q25" s="39">
        <f>calcs!R18</f>
        <v>887.71723818423868</v>
      </c>
      <c r="S25" s="47">
        <f>calcs!T18</f>
        <v>927.94256915855294</v>
      </c>
      <c r="T25" s="48">
        <f>calcs!U18</f>
        <v>857.6098080827162</v>
      </c>
      <c r="U25" s="48">
        <f>calcs!V18</f>
        <v>877.69227541162081</v>
      </c>
      <c r="V25" s="49" t="str">
        <f>calcs!W18</f>
        <v/>
      </c>
      <c r="X25" s="39"/>
    </row>
    <row r="26" spans="2:24" ht="5" customHeight="1" thickBot="1" x14ac:dyDescent="0.35">
      <c r="B26" s="29"/>
    </row>
    <row r="27" spans="2:24" ht="12.5" thickBot="1" x14ac:dyDescent="0.35">
      <c r="B27" s="33" t="s">
        <v>51</v>
      </c>
      <c r="C27" s="30"/>
      <c r="D27" s="41">
        <f>calcs!E21</f>
        <v>4.5058123424435159E-2</v>
      </c>
      <c r="E27" s="42">
        <f>calcs!F21</f>
        <v>6.2693127051165032E-2</v>
      </c>
      <c r="F27" s="42">
        <f>calcs!G21</f>
        <v>1.7358222479187946E-2</v>
      </c>
      <c r="G27" s="42">
        <f>calcs!H21</f>
        <v>5.899171020982652E-2</v>
      </c>
      <c r="H27" s="42">
        <f>calcs!I21</f>
        <v>4.7656712511667809E-3</v>
      </c>
      <c r="I27" s="42">
        <f>calcs!J21</f>
        <v>1.8079162552253836E-2</v>
      </c>
      <c r="J27" s="42">
        <f>calcs!K21</f>
        <v>0.10443106107109812</v>
      </c>
      <c r="K27" s="42">
        <f>calcs!L21</f>
        <v>5.9579426361509258E-2</v>
      </c>
      <c r="L27" s="42">
        <f>calcs!M21</f>
        <v>7.5819369243554258E-2</v>
      </c>
      <c r="M27" s="42" t="str">
        <f>calcs!N21</f>
        <v/>
      </c>
      <c r="N27" s="42" t="str">
        <f>calcs!O21</f>
        <v/>
      </c>
      <c r="O27" s="43" t="str">
        <f>calcs!P21</f>
        <v/>
      </c>
      <c r="P27" s="30"/>
      <c r="Q27" s="40">
        <f>calcs!R21</f>
        <v>4.9285380167468418E-2</v>
      </c>
      <c r="R27" s="30"/>
      <c r="S27" s="51">
        <f>calcs!T21</f>
        <v>4.164701455821862E-2</v>
      </c>
      <c r="T27" s="52">
        <f>calcs!U21</f>
        <v>2.7391694714142822E-2</v>
      </c>
      <c r="U27" s="52">
        <f>calcs!V21</f>
        <v>7.9807546318338085E-2</v>
      </c>
      <c r="V27" s="53" t="str">
        <f>calcs!W21</f>
        <v/>
      </c>
      <c r="W27" s="30"/>
      <c r="X27" s="54"/>
    </row>
  </sheetData>
  <mergeCells count="2">
    <mergeCell ref="B4:X4"/>
    <mergeCell ref="B5:X5"/>
  </mergeCells>
  <phoneticPr fontId="7"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333F1-DE8D-4EEC-A504-5B5CA99C969C}">
  <dimension ref="B1:Y24"/>
  <sheetViews>
    <sheetView workbookViewId="0">
      <selection activeCell="M32" sqref="M32"/>
    </sheetView>
  </sheetViews>
  <sheetFormatPr defaultRowHeight="12" x14ac:dyDescent="0.3"/>
  <cols>
    <col min="1" max="1" width="1.6328125" style="1" customWidth="1"/>
    <col min="2" max="2" width="8.7265625" style="1"/>
    <col min="3" max="3" width="8.7265625" style="20"/>
    <col min="4" max="4" width="1.6328125" style="1" customWidth="1"/>
    <col min="5" max="16" width="11" style="1" customWidth="1"/>
    <col min="17" max="17" width="1.6328125" style="1" customWidth="1"/>
    <col min="18" max="18" width="13.1796875" style="1" customWidth="1"/>
    <col min="19" max="19" width="1.6328125" style="1" customWidth="1"/>
    <col min="20" max="23" width="11" style="1" customWidth="1"/>
    <col min="24" max="24" width="1.6328125" style="1" customWidth="1"/>
    <col min="25" max="25" width="13.1796875" style="1" customWidth="1"/>
    <col min="26" max="16384" width="8.7265625" style="1"/>
  </cols>
  <sheetData>
    <row r="1" spans="2:25" x14ac:dyDescent="0.3">
      <c r="E1" s="1">
        <v>1</v>
      </c>
      <c r="F1" s="1">
        <v>1</v>
      </c>
      <c r="G1" s="1">
        <v>1</v>
      </c>
      <c r="H1" s="1">
        <v>2</v>
      </c>
      <c r="I1" s="1">
        <v>2</v>
      </c>
      <c r="J1" s="1">
        <v>2</v>
      </c>
      <c r="K1" s="1">
        <v>3</v>
      </c>
      <c r="L1" s="1">
        <v>3</v>
      </c>
      <c r="M1" s="1">
        <v>3</v>
      </c>
      <c r="N1" s="1">
        <v>4</v>
      </c>
      <c r="O1" s="1">
        <v>4</v>
      </c>
      <c r="P1" s="1">
        <v>4</v>
      </c>
    </row>
    <row r="2" spans="2:25" s="23" customFormat="1" x14ac:dyDescent="0.3">
      <c r="B2" s="23" t="s">
        <v>57</v>
      </c>
      <c r="E2" s="23">
        <f t="shared" ref="E2:P2" si="0">IF(E6&gt;incurred_month,0,1)</f>
        <v>1</v>
      </c>
      <c r="F2" s="23">
        <f t="shared" si="0"/>
        <v>1</v>
      </c>
      <c r="G2" s="23">
        <f t="shared" si="0"/>
        <v>1</v>
      </c>
      <c r="H2" s="23">
        <f t="shared" si="0"/>
        <v>1</v>
      </c>
      <c r="I2" s="23">
        <f t="shared" si="0"/>
        <v>1</v>
      </c>
      <c r="J2" s="23">
        <f t="shared" si="0"/>
        <v>1</v>
      </c>
      <c r="K2" s="23">
        <f t="shared" si="0"/>
        <v>1</v>
      </c>
      <c r="L2" s="23">
        <f t="shared" si="0"/>
        <v>1</v>
      </c>
      <c r="M2" s="23">
        <f t="shared" si="0"/>
        <v>1</v>
      </c>
      <c r="N2" s="23">
        <f t="shared" si="0"/>
        <v>0</v>
      </c>
      <c r="O2" s="23">
        <f t="shared" si="0"/>
        <v>0</v>
      </c>
      <c r="P2" s="23">
        <f t="shared" si="0"/>
        <v>0</v>
      </c>
      <c r="R2" s="23">
        <f>SUM(E2:P2)</f>
        <v>9</v>
      </c>
      <c r="T2" s="23">
        <f>SUMIFS($E$2:$P$2,$E$1:$P$1,T$3)</f>
        <v>3</v>
      </c>
      <c r="U2" s="23">
        <f t="shared" ref="U2:W2" si="1">SUMIFS($E$2:$P$2,$E$1:$P$1,U$3)</f>
        <v>3</v>
      </c>
      <c r="V2" s="23">
        <f t="shared" si="1"/>
        <v>3</v>
      </c>
      <c r="W2" s="23">
        <f t="shared" si="1"/>
        <v>0</v>
      </c>
    </row>
    <row r="3" spans="2:25" s="23" customFormat="1" x14ac:dyDescent="0.3">
      <c r="B3" s="23" t="s">
        <v>58</v>
      </c>
      <c r="E3" s="23">
        <f>IF(E2=1,E1,0)</f>
        <v>1</v>
      </c>
      <c r="F3" s="23">
        <f t="shared" ref="F3:P3" si="2">IF(F2=1,F1,0)</f>
        <v>1</v>
      </c>
      <c r="G3" s="23">
        <f t="shared" si="2"/>
        <v>1</v>
      </c>
      <c r="H3" s="23">
        <f t="shared" si="2"/>
        <v>2</v>
      </c>
      <c r="I3" s="23">
        <f t="shared" si="2"/>
        <v>2</v>
      </c>
      <c r="J3" s="23">
        <f t="shared" si="2"/>
        <v>2</v>
      </c>
      <c r="K3" s="23">
        <f t="shared" si="2"/>
        <v>3</v>
      </c>
      <c r="L3" s="23">
        <f t="shared" si="2"/>
        <v>3</v>
      </c>
      <c r="M3" s="23">
        <f t="shared" si="2"/>
        <v>3</v>
      </c>
      <c r="N3" s="23">
        <f t="shared" si="2"/>
        <v>0</v>
      </c>
      <c r="O3" s="23">
        <f t="shared" si="2"/>
        <v>0</v>
      </c>
      <c r="P3" s="23">
        <f t="shared" si="2"/>
        <v>0</v>
      </c>
      <c r="T3" s="23">
        <v>1</v>
      </c>
      <c r="U3" s="23">
        <v>2</v>
      </c>
      <c r="V3" s="23">
        <v>3</v>
      </c>
      <c r="W3" s="23">
        <v>4</v>
      </c>
    </row>
    <row r="4" spans="2:25" s="23" customFormat="1" x14ac:dyDescent="0.3"/>
    <row r="6" spans="2:25" x14ac:dyDescent="0.3">
      <c r="B6" s="4" t="s">
        <v>19</v>
      </c>
      <c r="E6" s="20">
        <v>1</v>
      </c>
      <c r="F6" s="20">
        <f>E6+1</f>
        <v>2</v>
      </c>
      <c r="G6" s="20">
        <f t="shared" ref="G6:P6" si="3">F6+1</f>
        <v>3</v>
      </c>
      <c r="H6" s="20">
        <f t="shared" si="3"/>
        <v>4</v>
      </c>
      <c r="I6" s="20">
        <f t="shared" si="3"/>
        <v>5</v>
      </c>
      <c r="J6" s="20">
        <f t="shared" si="3"/>
        <v>6</v>
      </c>
      <c r="K6" s="20">
        <f t="shared" si="3"/>
        <v>7</v>
      </c>
      <c r="L6" s="20">
        <f t="shared" si="3"/>
        <v>8</v>
      </c>
      <c r="M6" s="20">
        <f t="shared" si="3"/>
        <v>9</v>
      </c>
      <c r="N6" s="20">
        <f t="shared" si="3"/>
        <v>10</v>
      </c>
      <c r="O6" s="20">
        <f t="shared" si="3"/>
        <v>11</v>
      </c>
      <c r="P6" s="20">
        <f t="shared" si="3"/>
        <v>12</v>
      </c>
      <c r="Q6" s="20"/>
      <c r="R6" s="20" t="str">
        <f>TEXT(incurred_date,"mmm")&amp;" YTD"</f>
        <v>Sep YTD</v>
      </c>
      <c r="S6" s="20"/>
      <c r="T6" s="20" t="s">
        <v>53</v>
      </c>
      <c r="U6" s="20" t="s">
        <v>54</v>
      </c>
      <c r="V6" s="20" t="s">
        <v>55</v>
      </c>
      <c r="W6" s="20" t="s">
        <v>56</v>
      </c>
      <c r="X6" s="20"/>
      <c r="Y6" s="20" t="s">
        <v>29</v>
      </c>
    </row>
    <row r="7" spans="2:25" x14ac:dyDescent="0.3">
      <c r="C7" s="20">
        <v>2024</v>
      </c>
      <c r="E7" s="3">
        <f>IFERROR(GETPIVOTDATA("member_months",pivot!$C$2,"year",$C7,"month",E$6),0)</f>
        <v>97239</v>
      </c>
      <c r="F7" s="3">
        <f>IFERROR(GETPIVOTDATA("member_months",pivot!$C$2,"year",$C7,"month",F$6),0)</f>
        <v>97842</v>
      </c>
      <c r="G7" s="3">
        <f>IFERROR(GETPIVOTDATA("member_months",pivot!$C$2,"year",$C7,"month",G$6),0)</f>
        <v>97095</v>
      </c>
      <c r="H7" s="3">
        <f>IFERROR(GETPIVOTDATA("member_months",pivot!$C$2,"year",$C7,"month",H$6),0)</f>
        <v>97360</v>
      </c>
      <c r="I7" s="3">
        <f>IFERROR(GETPIVOTDATA("member_months",pivot!$C$2,"year",$C7,"month",I$6),0)</f>
        <v>97726</v>
      </c>
      <c r="J7" s="3">
        <f>IFERROR(GETPIVOTDATA("member_months",pivot!$C$2,"year",$C7,"month",J$6),0)</f>
        <v>97892</v>
      </c>
      <c r="K7" s="3">
        <f>IFERROR(GETPIVOTDATA("member_months",pivot!$C$2,"year",$C7,"month",K$6),0)</f>
        <v>98237</v>
      </c>
      <c r="L7" s="3">
        <f>IFERROR(GETPIVOTDATA("member_months",pivot!$C$2,"year",$C7,"month",L$6),0)</f>
        <v>98269</v>
      </c>
      <c r="M7" s="3">
        <f>IFERROR(GETPIVOTDATA("member_months",pivot!$C$2,"year",$C7,"month",M$6),0)</f>
        <v>98451</v>
      </c>
      <c r="N7" s="3">
        <f>IFERROR(GETPIVOTDATA("member_months",pivot!$C$2,"year",$C7,"month",N$6),0)</f>
        <v>98329</v>
      </c>
      <c r="O7" s="3">
        <f>IFERROR(GETPIVOTDATA("member_months",pivot!$C$2,"year",$C7,"month",O$6),0)</f>
        <v>98362</v>
      </c>
      <c r="P7" s="3">
        <f>IFERROR(GETPIVOTDATA("member_months",pivot!$C$2,"year",$C7,"month",P$6),0)</f>
        <v>98022</v>
      </c>
      <c r="R7" s="3">
        <f>AVERAGEIFS(E7:P7,$E$2:$P$2,1)</f>
        <v>97790.111111111109</v>
      </c>
      <c r="T7" s="3">
        <f>AVERAGEIFS($E7:$P7,$E$1:$P$1,T$3)</f>
        <v>97392</v>
      </c>
      <c r="U7" s="3">
        <f t="shared" ref="U7:W8" si="4">AVERAGEIFS($E7:$P7,$E$1:$P$1,U$3)</f>
        <v>97659.333333333328</v>
      </c>
      <c r="V7" s="3">
        <f t="shared" si="4"/>
        <v>98319</v>
      </c>
      <c r="W7" s="3">
        <f t="shared" si="4"/>
        <v>98237.666666666672</v>
      </c>
      <c r="Y7" s="22">
        <f>AVERAGE(E7:P7)</f>
        <v>97902</v>
      </c>
    </row>
    <row r="8" spans="2:25" x14ac:dyDescent="0.3">
      <c r="C8" s="20">
        <v>2025</v>
      </c>
      <c r="E8" s="3">
        <f>IF(E$2=0,0,IFERROR(GETPIVOTDATA("member_months",pivot!$C$2,"year",$C8,"month",E$6),0))</f>
        <v>99516</v>
      </c>
      <c r="F8" s="3">
        <f>IF(F$2=0,0,IFERROR(GETPIVOTDATA("member_months",pivot!$C$2,"year",$C8,"month",F$6),0))</f>
        <v>99375</v>
      </c>
      <c r="G8" s="3">
        <f>IF(G$2=0,0,IFERROR(GETPIVOTDATA("member_months",pivot!$C$2,"year",$C8,"month",G$6),0))</f>
        <v>100022</v>
      </c>
      <c r="H8" s="3">
        <f>IF(H$2=0,0,IFERROR(GETPIVOTDATA("member_months",pivot!$C$2,"year",$C8,"month",H$6),0))</f>
        <v>99590</v>
      </c>
      <c r="I8" s="3">
        <f>IF(I$2=0,0,IFERROR(GETPIVOTDATA("member_months",pivot!$C$2,"year",$C8,"month",I$6),0))</f>
        <v>99698</v>
      </c>
      <c r="J8" s="3">
        <f>IF(J$2=0,0,IFERROR(GETPIVOTDATA("member_months",pivot!$C$2,"year",$C8,"month",J$6),0))</f>
        <v>99971</v>
      </c>
      <c r="K8" s="3">
        <f>IF(K$2=0,0,IFERROR(GETPIVOTDATA("member_months",pivot!$C$2,"year",$C8,"month",K$6),0))</f>
        <v>100048</v>
      </c>
      <c r="L8" s="3">
        <f>IF(L$2=0,0,IFERROR(GETPIVOTDATA("member_months",pivot!$C$2,"year",$C8,"month",L$6),0))</f>
        <v>100644</v>
      </c>
      <c r="M8" s="3">
        <f>IF(M$2=0,0,IFERROR(GETPIVOTDATA("member_months",pivot!$C$2,"year",$C8,"month",M$6),0))</f>
        <v>99953</v>
      </c>
      <c r="N8" s="3">
        <f>IF(N$2=0,0,IFERROR(GETPIVOTDATA("member_months",pivot!$C$2,"year",$C8,"month",N$6),0))</f>
        <v>0</v>
      </c>
      <c r="O8" s="3">
        <f>IF(O$2=0,0,IFERROR(GETPIVOTDATA("member_months",pivot!$C$2,"year",$C8,"month",O$6),0))</f>
        <v>0</v>
      </c>
      <c r="P8" s="3">
        <f>IF(P$2=0,0,IFERROR(GETPIVOTDATA("member_months",pivot!$C$2,"year",$C8,"month",P$6),0))</f>
        <v>0</v>
      </c>
      <c r="R8" s="3">
        <f>AVERAGEIFS(E8:P8,$E$2:$P$2,1)</f>
        <v>99868.555555555562</v>
      </c>
      <c r="T8" s="3">
        <f>AVERAGEIFS($E8:$P8,$E$1:$P$1,T$3)</f>
        <v>99637.666666666672</v>
      </c>
      <c r="U8" s="3">
        <f t="shared" si="4"/>
        <v>99753</v>
      </c>
      <c r="V8" s="3">
        <f t="shared" si="4"/>
        <v>100215</v>
      </c>
      <c r="W8" s="3">
        <f t="shared" si="4"/>
        <v>0</v>
      </c>
    </row>
    <row r="11" spans="2:25" x14ac:dyDescent="0.3">
      <c r="B11" s="4" t="s">
        <v>27</v>
      </c>
      <c r="E11" s="20">
        <v>1</v>
      </c>
      <c r="F11" s="20">
        <f>E11+1</f>
        <v>2</v>
      </c>
      <c r="G11" s="20">
        <f t="shared" ref="G11:P11" si="5">F11+1</f>
        <v>3</v>
      </c>
      <c r="H11" s="20">
        <f t="shared" si="5"/>
        <v>4</v>
      </c>
      <c r="I11" s="20">
        <f t="shared" si="5"/>
        <v>5</v>
      </c>
      <c r="J11" s="20">
        <f t="shared" si="5"/>
        <v>6</v>
      </c>
      <c r="K11" s="20">
        <f t="shared" si="5"/>
        <v>7</v>
      </c>
      <c r="L11" s="20">
        <f t="shared" si="5"/>
        <v>8</v>
      </c>
      <c r="M11" s="20">
        <f t="shared" si="5"/>
        <v>9</v>
      </c>
      <c r="N11" s="20">
        <f t="shared" si="5"/>
        <v>10</v>
      </c>
      <c r="O11" s="20">
        <f t="shared" si="5"/>
        <v>11</v>
      </c>
      <c r="P11" s="20">
        <f t="shared" si="5"/>
        <v>12</v>
      </c>
      <c r="Q11" s="20"/>
      <c r="R11" s="20" t="str">
        <f>TEXT(incurred_date,"mmm")&amp;" YTD"</f>
        <v>Sep YTD</v>
      </c>
      <c r="S11" s="20"/>
      <c r="T11" s="20" t="s">
        <v>53</v>
      </c>
      <c r="U11" s="20" t="s">
        <v>54</v>
      </c>
      <c r="V11" s="20" t="s">
        <v>55</v>
      </c>
      <c r="W11" s="20" t="s">
        <v>56</v>
      </c>
      <c r="X11" s="20"/>
      <c r="Y11" s="20" t="s">
        <v>29</v>
      </c>
    </row>
    <row r="12" spans="2:25" x14ac:dyDescent="0.3">
      <c r="C12" s="20">
        <v>2024</v>
      </c>
      <c r="E12" s="2">
        <f>IFERROR(GETPIVOTDATA("ultimate_incurred",pivot!$C$20,"year",$C12,"month",E$11),0)</f>
        <v>87270577.079999998</v>
      </c>
      <c r="F12" s="2">
        <f>IFERROR(GETPIVOTDATA("ultimate_incurred",pivot!$C$20,"year",$C12,"month",F$11),0)</f>
        <v>86675378.180000007</v>
      </c>
      <c r="G12" s="2">
        <f>IFERROR(GETPIVOTDATA("ultimate_incurred",pivot!$C$20,"year",$C12,"month",G$11),0)</f>
        <v>86336601.400000006</v>
      </c>
      <c r="H12" s="2">
        <f>IFERROR(GETPIVOTDATA("ultimate_incurred",pivot!$C$20,"year",$C12,"month",H$11),0)</f>
        <v>82314493.819999993</v>
      </c>
      <c r="I12" s="2">
        <f>IFERROR(GETPIVOTDATA("ultimate_incurred",pivot!$C$20,"year",$C12,"month",I$11),0)</f>
        <v>82415729.770000011</v>
      </c>
      <c r="J12" s="2">
        <f>IFERROR(GETPIVOTDATA("ultimate_incurred",pivot!$C$20,"year",$C12,"month",J$11),0)</f>
        <v>79831619.419999987</v>
      </c>
      <c r="K12" s="2">
        <f>IFERROR(GETPIVOTDATA("ultimate_incurred",pivot!$C$20,"year",$C12,"month",K$11),0)</f>
        <v>78713647.780000001</v>
      </c>
      <c r="L12" s="2">
        <f>IFERROR(GETPIVOTDATA("ultimate_incurred",pivot!$C$20,"year",$C12,"month",L$11),0)</f>
        <v>77980131.679999992</v>
      </c>
      <c r="M12" s="2">
        <f>IFERROR(GETPIVOTDATA("ultimate_incurred",pivot!$C$20,"year",$C12,"month",M$11),0)</f>
        <v>83054017.599999994</v>
      </c>
      <c r="N12" s="2">
        <f>IFERROR(GETPIVOTDATA("ultimate_incurred",pivot!$C$20,"year",$C12,"month",N$11),0)</f>
        <v>84666871.680000007</v>
      </c>
      <c r="O12" s="2">
        <f>IFERROR(GETPIVOTDATA("ultimate_incurred",pivot!$C$20,"year",$C12,"month",O$11),0)</f>
        <v>92509857.75</v>
      </c>
      <c r="P12" s="2">
        <f>IFERROR(GETPIVOTDATA("ultimate_incurred",pivot!$C$20,"year",$C12,"month",P$11),0)</f>
        <v>94131649.430000007</v>
      </c>
      <c r="R12" s="2">
        <f>AVERAGEIFS(E12:P12,$E$2:$P$2,1)</f>
        <v>82732466.303333327</v>
      </c>
      <c r="S12" s="2"/>
      <c r="T12" s="2">
        <f>AVERAGEIFS($E12:$P12,$E$1:$P$1,T$3)</f>
        <v>86760852.219999999</v>
      </c>
      <c r="U12" s="2">
        <f t="shared" ref="U12:W13" si="6">AVERAGEIFS($E12:$P12,$E$1:$P$1,U$3)</f>
        <v>81520614.336666659</v>
      </c>
      <c r="V12" s="2">
        <f t="shared" si="6"/>
        <v>79915932.353333324</v>
      </c>
      <c r="W12" s="2">
        <f t="shared" si="6"/>
        <v>90436126.286666676</v>
      </c>
      <c r="X12" s="2"/>
      <c r="Y12" s="2">
        <f>AVERAGE(E12:P12)</f>
        <v>84658381.299166664</v>
      </c>
    </row>
    <row r="13" spans="2:25" x14ac:dyDescent="0.3">
      <c r="C13" s="20">
        <v>2025</v>
      </c>
      <c r="E13" s="2">
        <f>IF(E$2=0,0,IFERROR(GETPIVOTDATA("ultimate_incurred",pivot!$C$20,"year",$C13,"month",E$11),0))</f>
        <v>93338479.25</v>
      </c>
      <c r="F13" s="2">
        <f>IF(F$2=0,0,IFERROR(GETPIVOTDATA("ultimate_incurred",pivot!$C$20,"year",$C13,"month",F$11),0))</f>
        <v>93552508.505773321</v>
      </c>
      <c r="G13" s="2">
        <f>IF(G$2=0,0,IFERROR(GETPIVOTDATA("ultimate_incurred",pivot!$C$20,"year",$C13,"month",G$11),0))</f>
        <v>90483109.419117272</v>
      </c>
      <c r="H13" s="2">
        <f>IF(H$2=0,0,IFERROR(GETPIVOTDATA("ultimate_incurred",pivot!$C$20,"year",$C13,"month",H$11),0))</f>
        <v>89166976.255646527</v>
      </c>
      <c r="I13" s="2">
        <f>IF(I$2=0,0,IFERROR(GETPIVOTDATA("ultimate_incurred",pivot!$C$20,"year",$C13,"month",I$11),0))</f>
        <v>84479477.709059954</v>
      </c>
      <c r="J13" s="2">
        <f>IF(J$2=0,0,IFERROR(GETPIVOTDATA("ultimate_incurred",pivot!$C$20,"year",$C13,"month",J$11),0))</f>
        <v>83000999.592319071</v>
      </c>
      <c r="K13" s="2">
        <f>IF(K$2=0,0,IFERROR(GETPIVOTDATA("ultimate_incurred",pivot!$C$20,"year",$C13,"month",K$11),0))</f>
        <v>88536422.896933466</v>
      </c>
      <c r="L13" s="2">
        <f>IF(L$2=0,0,IFERROR(GETPIVOTDATA("ultimate_incurred",pivot!$C$20,"year",$C13,"month",L$11),0))</f>
        <v>84623081.088901743</v>
      </c>
      <c r="M13" s="2">
        <f>IF(M$2=0,0,IFERROR(GETPIVOTDATA("ultimate_incurred",pivot!$C$20,"year",$C13,"month",M$11),0))</f>
        <v>90714290.155291572</v>
      </c>
      <c r="N13" s="2">
        <f>IF(N$2=0,0,IFERROR(GETPIVOTDATA("ultimate_incurred",pivot!$C$20,"year",$C13,"month",N$11),0))</f>
        <v>0</v>
      </c>
      <c r="O13" s="2">
        <f>IF(O$2=0,0,IFERROR(GETPIVOTDATA("ultimate_incurred",pivot!$C$20,"year",$C13,"month",O$11),0))</f>
        <v>0</v>
      </c>
      <c r="P13" s="2">
        <f>IF(P$2=0,0,IFERROR(GETPIVOTDATA("ultimate_incurred",pivot!$C$20,"year",$C13,"month",P$11),0))</f>
        <v>0</v>
      </c>
      <c r="R13" s="2">
        <f>AVERAGEIFS(E13:P13,$E$2:$P$2,1)</f>
        <v>88655038.319226995</v>
      </c>
      <c r="S13" s="2"/>
      <c r="T13" s="2">
        <f>AVERAGEIFS($E13:$P13,$E$1:$P$1,T$3)</f>
        <v>92458032.391630188</v>
      </c>
      <c r="U13" s="2">
        <f t="shared" si="6"/>
        <v>85549151.185675189</v>
      </c>
      <c r="V13" s="2">
        <f t="shared" si="6"/>
        <v>87957931.380375579</v>
      </c>
      <c r="W13" s="2">
        <f t="shared" si="6"/>
        <v>0</v>
      </c>
      <c r="X13" s="2"/>
      <c r="Y13" s="2"/>
    </row>
    <row r="16" spans="2:25" x14ac:dyDescent="0.3">
      <c r="B16" s="4" t="s">
        <v>50</v>
      </c>
      <c r="E16" s="20">
        <v>1</v>
      </c>
      <c r="F16" s="20">
        <f>E16+1</f>
        <v>2</v>
      </c>
      <c r="G16" s="20">
        <f t="shared" ref="G16:P16" si="7">F16+1</f>
        <v>3</v>
      </c>
      <c r="H16" s="20">
        <f t="shared" si="7"/>
        <v>4</v>
      </c>
      <c r="I16" s="20">
        <f t="shared" si="7"/>
        <v>5</v>
      </c>
      <c r="J16" s="20">
        <f t="shared" si="7"/>
        <v>6</v>
      </c>
      <c r="K16" s="20">
        <f t="shared" si="7"/>
        <v>7</v>
      </c>
      <c r="L16" s="20">
        <f t="shared" si="7"/>
        <v>8</v>
      </c>
      <c r="M16" s="20">
        <f t="shared" si="7"/>
        <v>9</v>
      </c>
      <c r="N16" s="20">
        <f t="shared" si="7"/>
        <v>10</v>
      </c>
      <c r="O16" s="20">
        <f t="shared" si="7"/>
        <v>11</v>
      </c>
      <c r="P16" s="20">
        <f t="shared" si="7"/>
        <v>12</v>
      </c>
      <c r="Q16" s="20"/>
      <c r="R16" s="20" t="str">
        <f>TEXT(incurred_date,"mmm")&amp;" YTD"</f>
        <v>Sep YTD</v>
      </c>
      <c r="S16" s="20"/>
      <c r="T16" s="20" t="s">
        <v>53</v>
      </c>
      <c r="U16" s="20" t="s">
        <v>54</v>
      </c>
      <c r="V16" s="20" t="s">
        <v>55</v>
      </c>
      <c r="W16" s="20" t="s">
        <v>56</v>
      </c>
      <c r="X16" s="20"/>
      <c r="Y16" s="20" t="s">
        <v>29</v>
      </c>
    </row>
    <row r="17" spans="2:25" x14ac:dyDescent="0.3">
      <c r="C17" s="20">
        <v>2024</v>
      </c>
      <c r="E17" s="2">
        <f>IFERROR(E12/E7,0)</f>
        <v>897.48534106685588</v>
      </c>
      <c r="F17" s="2">
        <f t="shared" ref="F17:Y18" si="8">IFERROR(F12/F7,0)</f>
        <v>885.87087528873087</v>
      </c>
      <c r="G17" s="2">
        <f t="shared" si="8"/>
        <v>889.19719244039345</v>
      </c>
      <c r="H17" s="2">
        <f t="shared" si="8"/>
        <v>845.46522000821687</v>
      </c>
      <c r="I17" s="2">
        <f t="shared" si="8"/>
        <v>843.33472944763946</v>
      </c>
      <c r="J17" s="2">
        <f t="shared" si="8"/>
        <v>815.5070835206144</v>
      </c>
      <c r="K17" s="2">
        <f t="shared" si="8"/>
        <v>801.26273990451659</v>
      </c>
      <c r="L17" s="2">
        <f t="shared" si="8"/>
        <v>793.53745006054805</v>
      </c>
      <c r="M17" s="2">
        <f t="shared" si="8"/>
        <v>843.60765863221297</v>
      </c>
      <c r="N17" s="2">
        <f t="shared" si="8"/>
        <v>861.05697891771513</v>
      </c>
      <c r="O17" s="2">
        <f t="shared" si="8"/>
        <v>940.50403356987454</v>
      </c>
      <c r="P17" s="2">
        <f t="shared" si="8"/>
        <v>960.31145487747654</v>
      </c>
      <c r="R17" s="2">
        <f t="shared" si="8"/>
        <v>846.02078229905089</v>
      </c>
      <c r="T17" s="2">
        <f t="shared" ref="T17:W17" si="9">IFERROR(T12/T7,0)</f>
        <v>890.8416730326926</v>
      </c>
      <c r="U17" s="2">
        <f t="shared" si="9"/>
        <v>834.74473513369605</v>
      </c>
      <c r="V17" s="2">
        <f t="shared" si="9"/>
        <v>812.82287608024217</v>
      </c>
      <c r="W17" s="2">
        <f t="shared" si="9"/>
        <v>920.58503988626228</v>
      </c>
      <c r="Y17" s="2">
        <f t="shared" si="8"/>
        <v>864.72575942439039</v>
      </c>
    </row>
    <row r="18" spans="2:25" x14ac:dyDescent="0.3">
      <c r="C18" s="20">
        <v>2025</v>
      </c>
      <c r="E18" s="2">
        <f>IF(E$2=0,"",IFERROR(E13/E8,0))</f>
        <v>937.92434633626749</v>
      </c>
      <c r="F18" s="2">
        <f t="shared" ref="F18:P18" si="10">IF(F$2=0,"",IFERROR(F13/F8,0))</f>
        <v>941.40889062413407</v>
      </c>
      <c r="G18" s="2">
        <f t="shared" si="10"/>
        <v>904.63207513464306</v>
      </c>
      <c r="H18" s="2">
        <f t="shared" si="10"/>
        <v>895.34065925942889</v>
      </c>
      <c r="I18" s="2">
        <f t="shared" si="10"/>
        <v>847.35378552287864</v>
      </c>
      <c r="J18" s="2">
        <f t="shared" si="10"/>
        <v>830.25076864609809</v>
      </c>
      <c r="K18" s="2">
        <f t="shared" si="10"/>
        <v>884.93945802948053</v>
      </c>
      <c r="L18" s="2">
        <f t="shared" si="10"/>
        <v>840.81595613153036</v>
      </c>
      <c r="M18" s="2">
        <f t="shared" si="10"/>
        <v>907.56945919873908</v>
      </c>
      <c r="N18" s="2" t="str">
        <f t="shared" si="10"/>
        <v/>
      </c>
      <c r="O18" s="2" t="str">
        <f t="shared" si="10"/>
        <v/>
      </c>
      <c r="P18" s="2" t="str">
        <f t="shared" si="10"/>
        <v/>
      </c>
      <c r="R18" s="2">
        <f t="shared" si="8"/>
        <v>887.71723818423868</v>
      </c>
      <c r="T18" s="2">
        <f>IF(T2=0,"",IFERROR(T13/T8,0))</f>
        <v>927.94256915855294</v>
      </c>
      <c r="U18" s="2">
        <f t="shared" ref="U18:W18" si="11">IF(U2=0,"",IFERROR(U13/U8,0))</f>
        <v>857.6098080827162</v>
      </c>
      <c r="V18" s="2">
        <f t="shared" si="11"/>
        <v>877.69227541162081</v>
      </c>
      <c r="W18" s="2" t="str">
        <f t="shared" si="11"/>
        <v/>
      </c>
      <c r="Y18" s="2"/>
    </row>
    <row r="20" spans="2:25" x14ac:dyDescent="0.3">
      <c r="B20" s="4" t="s">
        <v>51</v>
      </c>
    </row>
    <row r="21" spans="2:25" x14ac:dyDescent="0.3">
      <c r="C21" s="26" t="s">
        <v>52</v>
      </c>
      <c r="E21" s="25">
        <f>IF(E2=0,"",E18/E17-1)</f>
        <v>4.5058123424435159E-2</v>
      </c>
      <c r="F21" s="25">
        <f t="shared" ref="F21:W21" si="12">IF(F2=0,"",F18/F17-1)</f>
        <v>6.2693127051165032E-2</v>
      </c>
      <c r="G21" s="25">
        <f t="shared" si="12"/>
        <v>1.7358222479187946E-2</v>
      </c>
      <c r="H21" s="25">
        <f t="shared" si="12"/>
        <v>5.899171020982652E-2</v>
      </c>
      <c r="I21" s="25">
        <f t="shared" si="12"/>
        <v>4.7656712511667809E-3</v>
      </c>
      <c r="J21" s="25">
        <f t="shared" si="12"/>
        <v>1.8079162552253836E-2</v>
      </c>
      <c r="K21" s="25">
        <f t="shared" si="12"/>
        <v>0.10443106107109812</v>
      </c>
      <c r="L21" s="25">
        <f t="shared" si="12"/>
        <v>5.9579426361509258E-2</v>
      </c>
      <c r="M21" s="25">
        <f t="shared" si="12"/>
        <v>7.5819369243554258E-2</v>
      </c>
      <c r="N21" s="25" t="str">
        <f t="shared" si="12"/>
        <v/>
      </c>
      <c r="O21" s="25" t="str">
        <f t="shared" si="12"/>
        <v/>
      </c>
      <c r="P21" s="25" t="str">
        <f t="shared" si="12"/>
        <v/>
      </c>
      <c r="R21" s="25">
        <f t="shared" si="12"/>
        <v>4.9285380167468418E-2</v>
      </c>
      <c r="T21" s="25">
        <f t="shared" si="12"/>
        <v>4.164701455821862E-2</v>
      </c>
      <c r="U21" s="25">
        <f t="shared" si="12"/>
        <v>2.7391694714142822E-2</v>
      </c>
      <c r="V21" s="25">
        <f t="shared" si="12"/>
        <v>7.9807546318338085E-2</v>
      </c>
      <c r="W21" s="25" t="str">
        <f t="shared" si="12"/>
        <v/>
      </c>
    </row>
    <row r="23" spans="2:25" x14ac:dyDescent="0.3">
      <c r="B23" s="4" t="s">
        <v>59</v>
      </c>
    </row>
    <row r="24" spans="2:25" x14ac:dyDescent="0.3">
      <c r="C24" s="20">
        <v>2025</v>
      </c>
      <c r="E24" s="24">
        <f>IF(E3=0,NA(),E18)</f>
        <v>937.92434633626749</v>
      </c>
      <c r="F24" s="24">
        <f t="shared" ref="F24:P24" si="13">IF(F3=0,NA(),F18)</f>
        <v>941.40889062413407</v>
      </c>
      <c r="G24" s="24">
        <f t="shared" si="13"/>
        <v>904.63207513464306</v>
      </c>
      <c r="H24" s="24">
        <f t="shared" si="13"/>
        <v>895.34065925942889</v>
      </c>
      <c r="I24" s="24">
        <f t="shared" si="13"/>
        <v>847.35378552287864</v>
      </c>
      <c r="J24" s="24">
        <f t="shared" si="13"/>
        <v>830.25076864609809</v>
      </c>
      <c r="K24" s="24">
        <f t="shared" si="13"/>
        <v>884.93945802948053</v>
      </c>
      <c r="L24" s="24">
        <f t="shared" si="13"/>
        <v>840.81595613153036</v>
      </c>
      <c r="M24" s="24">
        <f t="shared" si="13"/>
        <v>907.56945919873908</v>
      </c>
      <c r="N24" s="24" t="e">
        <f t="shared" si="13"/>
        <v>#N/A</v>
      </c>
      <c r="O24" s="24" t="e">
        <f t="shared" si="13"/>
        <v>#N/A</v>
      </c>
      <c r="P24" s="24" t="e">
        <f t="shared" si="13"/>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D7C1-65A1-4418-B0D4-78C3024E5E5F}">
  <dimension ref="B2:P24"/>
  <sheetViews>
    <sheetView workbookViewId="0">
      <selection activeCell="H23" sqref="H23"/>
    </sheetView>
  </sheetViews>
  <sheetFormatPr defaultRowHeight="12" x14ac:dyDescent="0.3"/>
  <cols>
    <col min="1" max="1" width="8.7265625" style="1"/>
    <col min="2" max="2" width="8.7265625" style="4"/>
    <col min="3" max="3" width="22.36328125" style="1" customWidth="1"/>
    <col min="4" max="4" width="13.36328125" style="1" customWidth="1"/>
    <col min="5" max="15" width="11" style="1" customWidth="1"/>
    <col min="16" max="16" width="12.26953125" style="1" customWidth="1"/>
    <col min="17" max="16384" width="8.7265625" style="1"/>
  </cols>
  <sheetData>
    <row r="2" spans="2:16" x14ac:dyDescent="0.3">
      <c r="B2" s="4" t="s">
        <v>19</v>
      </c>
      <c r="C2" s="16" t="s">
        <v>23</v>
      </c>
      <c r="D2" s="16" t="s">
        <v>22</v>
      </c>
    </row>
    <row r="3" spans="2:16" x14ac:dyDescent="0.3">
      <c r="C3" s="16" t="s">
        <v>20</v>
      </c>
      <c r="D3" s="1">
        <v>1</v>
      </c>
      <c r="E3" s="1">
        <v>2</v>
      </c>
      <c r="F3" s="1">
        <v>3</v>
      </c>
      <c r="G3" s="1">
        <v>4</v>
      </c>
      <c r="H3" s="1">
        <v>5</v>
      </c>
      <c r="I3" s="1">
        <v>6</v>
      </c>
      <c r="J3" s="1">
        <v>7</v>
      </c>
      <c r="K3" s="1">
        <v>8</v>
      </c>
      <c r="L3" s="1">
        <v>9</v>
      </c>
      <c r="M3" s="1">
        <v>10</v>
      </c>
      <c r="N3" s="1">
        <v>11</v>
      </c>
      <c r="O3" s="1">
        <v>12</v>
      </c>
      <c r="P3" s="1" t="s">
        <v>21</v>
      </c>
    </row>
    <row r="4" spans="2:16" x14ac:dyDescent="0.3">
      <c r="C4" s="17">
        <v>2024</v>
      </c>
      <c r="D4" s="18">
        <v>97239</v>
      </c>
      <c r="E4" s="18">
        <v>97842</v>
      </c>
      <c r="F4" s="18">
        <v>97095</v>
      </c>
      <c r="G4" s="18">
        <v>97360</v>
      </c>
      <c r="H4" s="18">
        <v>97726</v>
      </c>
      <c r="I4" s="18">
        <v>97892</v>
      </c>
      <c r="J4" s="18">
        <v>98237</v>
      </c>
      <c r="K4" s="18">
        <v>98269</v>
      </c>
      <c r="L4" s="18">
        <v>98451</v>
      </c>
      <c r="M4" s="18">
        <v>98329</v>
      </c>
      <c r="N4" s="18">
        <v>98362</v>
      </c>
      <c r="O4" s="18">
        <v>98022</v>
      </c>
      <c r="P4" s="18">
        <v>1174824</v>
      </c>
    </row>
    <row r="5" spans="2:16" x14ac:dyDescent="0.3">
      <c r="C5" s="17">
        <v>2025</v>
      </c>
      <c r="D5" s="18">
        <v>99516</v>
      </c>
      <c r="E5" s="18">
        <v>99375</v>
      </c>
      <c r="F5" s="18">
        <v>100022</v>
      </c>
      <c r="G5" s="18">
        <v>99590</v>
      </c>
      <c r="H5" s="18">
        <v>99698</v>
      </c>
      <c r="I5" s="18">
        <v>99971</v>
      </c>
      <c r="J5" s="18">
        <v>100048</v>
      </c>
      <c r="K5" s="18">
        <v>100644</v>
      </c>
      <c r="L5" s="18">
        <v>99953</v>
      </c>
      <c r="M5" s="18">
        <v>99891</v>
      </c>
      <c r="N5" s="18">
        <v>100377</v>
      </c>
      <c r="O5" s="18"/>
      <c r="P5" s="18">
        <v>1099085</v>
      </c>
    </row>
    <row r="6" spans="2:16" x14ac:dyDescent="0.3">
      <c r="C6" s="17" t="s">
        <v>21</v>
      </c>
      <c r="D6" s="18">
        <v>196755</v>
      </c>
      <c r="E6" s="18">
        <v>197217</v>
      </c>
      <c r="F6" s="18">
        <v>197117</v>
      </c>
      <c r="G6" s="18">
        <v>196950</v>
      </c>
      <c r="H6" s="18">
        <v>197424</v>
      </c>
      <c r="I6" s="18">
        <v>197863</v>
      </c>
      <c r="J6" s="18">
        <v>198285</v>
      </c>
      <c r="K6" s="18">
        <v>198913</v>
      </c>
      <c r="L6" s="18">
        <v>198404</v>
      </c>
      <c r="M6" s="18">
        <v>198220</v>
      </c>
      <c r="N6" s="18">
        <v>198739</v>
      </c>
      <c r="O6" s="18">
        <v>98022</v>
      </c>
      <c r="P6" s="18">
        <v>2273909</v>
      </c>
    </row>
    <row r="20" spans="2:16" x14ac:dyDescent="0.3">
      <c r="B20" s="4" t="s">
        <v>27</v>
      </c>
      <c r="C20" s="16" t="s">
        <v>28</v>
      </c>
      <c r="D20" s="16" t="s">
        <v>22</v>
      </c>
    </row>
    <row r="21" spans="2:16" x14ac:dyDescent="0.3">
      <c r="C21" s="16" t="s">
        <v>20</v>
      </c>
      <c r="D21" s="1">
        <v>1</v>
      </c>
      <c r="E21" s="1">
        <v>2</v>
      </c>
      <c r="F21" s="1">
        <v>3</v>
      </c>
      <c r="G21" s="1">
        <v>4</v>
      </c>
      <c r="H21" s="1">
        <v>5</v>
      </c>
      <c r="I21" s="1">
        <v>6</v>
      </c>
      <c r="J21" s="1">
        <v>7</v>
      </c>
      <c r="K21" s="1">
        <v>8</v>
      </c>
      <c r="L21" s="1">
        <v>9</v>
      </c>
      <c r="M21" s="1">
        <v>10</v>
      </c>
      <c r="N21" s="1">
        <v>11</v>
      </c>
      <c r="O21" s="1">
        <v>12</v>
      </c>
      <c r="P21" s="1" t="s">
        <v>21</v>
      </c>
    </row>
    <row r="22" spans="2:16" x14ac:dyDescent="0.3">
      <c r="C22" s="17">
        <v>2024</v>
      </c>
      <c r="D22" s="19">
        <v>87270577.079999998</v>
      </c>
      <c r="E22" s="19">
        <v>86675378.180000007</v>
      </c>
      <c r="F22" s="19">
        <v>86336601.400000006</v>
      </c>
      <c r="G22" s="19">
        <v>82314493.819999993</v>
      </c>
      <c r="H22" s="19">
        <v>82415729.770000011</v>
      </c>
      <c r="I22" s="19">
        <v>79831619.419999987</v>
      </c>
      <c r="J22" s="19">
        <v>78713647.780000001</v>
      </c>
      <c r="K22" s="19">
        <v>77980131.679999992</v>
      </c>
      <c r="L22" s="19">
        <v>83054017.599999994</v>
      </c>
      <c r="M22" s="19">
        <v>84666871.680000007</v>
      </c>
      <c r="N22" s="19">
        <v>92509857.75</v>
      </c>
      <c r="O22" s="19">
        <v>94131649.430000007</v>
      </c>
      <c r="P22" s="19">
        <v>1015900575.5899999</v>
      </c>
    </row>
    <row r="23" spans="2:16" x14ac:dyDescent="0.3">
      <c r="C23" s="17">
        <v>2025</v>
      </c>
      <c r="D23" s="19">
        <v>93338479.25</v>
      </c>
      <c r="E23" s="19">
        <v>93552508.505773321</v>
      </c>
      <c r="F23" s="19">
        <v>90483109.419117272</v>
      </c>
      <c r="G23" s="19">
        <v>89166976.255646527</v>
      </c>
      <c r="H23" s="19">
        <v>84479477.709059954</v>
      </c>
      <c r="I23" s="19">
        <v>83000999.592319071</v>
      </c>
      <c r="J23" s="19">
        <v>88536422.896933466</v>
      </c>
      <c r="K23" s="19">
        <v>84623081.088901743</v>
      </c>
      <c r="L23" s="19">
        <v>90714290.155291572</v>
      </c>
      <c r="M23" s="19">
        <v>106174310.65514342</v>
      </c>
      <c r="N23" s="19">
        <v>102464805.43468094</v>
      </c>
      <c r="O23" s="19"/>
      <c r="P23" s="19">
        <v>1006534460.9628673</v>
      </c>
    </row>
    <row r="24" spans="2:16" x14ac:dyDescent="0.3">
      <c r="C24" s="17" t="s">
        <v>21</v>
      </c>
      <c r="D24" s="19">
        <v>180609056.32999998</v>
      </c>
      <c r="E24" s="19">
        <v>180227886.68577331</v>
      </c>
      <c r="F24" s="19">
        <v>176819710.81911728</v>
      </c>
      <c r="G24" s="19">
        <v>171481470.07564652</v>
      </c>
      <c r="H24" s="19">
        <v>166895207.47905996</v>
      </c>
      <c r="I24" s="19">
        <v>162832619.01231906</v>
      </c>
      <c r="J24" s="19">
        <v>167250070.67693347</v>
      </c>
      <c r="K24" s="19">
        <v>162603212.76890174</v>
      </c>
      <c r="L24" s="19">
        <v>173768307.75529158</v>
      </c>
      <c r="M24" s="19">
        <v>190841182.33514345</v>
      </c>
      <c r="N24" s="19">
        <v>194974663.18468094</v>
      </c>
      <c r="O24" s="19">
        <v>94131649.430000007</v>
      </c>
      <c r="P24" s="19">
        <v>2022435036.5528672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149F-2CDD-49E9-A073-FC3C1DFA5F76}">
  <dimension ref="A6:F144"/>
  <sheetViews>
    <sheetView workbookViewId="0">
      <pane ySplit="6" topLeftCell="A33" activePane="bottomLeft" state="frozen"/>
      <selection pane="bottomLeft" activeCell="I53" sqref="I53"/>
    </sheetView>
  </sheetViews>
  <sheetFormatPr defaultRowHeight="12" x14ac:dyDescent="0.3"/>
  <cols>
    <col min="1" max="4" width="8.7265625" style="1"/>
    <col min="5" max="5" width="13.7265625" style="1" customWidth="1"/>
    <col min="6" max="6" width="12.26953125" style="2" customWidth="1"/>
    <col min="7" max="16384" width="8.7265625" style="1"/>
  </cols>
  <sheetData>
    <row r="6" spans="1:6" x14ac:dyDescent="0.3">
      <c r="A6" s="4" t="s">
        <v>12</v>
      </c>
      <c r="B6" s="4" t="s">
        <v>13</v>
      </c>
      <c r="C6" s="4" t="s">
        <v>1</v>
      </c>
      <c r="D6" s="4" t="s">
        <v>24</v>
      </c>
      <c r="E6" s="5" t="s">
        <v>6</v>
      </c>
      <c r="F6" s="6" t="s">
        <v>18</v>
      </c>
    </row>
    <row r="7" spans="1:6" x14ac:dyDescent="0.3">
      <c r="A7" s="1">
        <v>2024</v>
      </c>
      <c r="B7" s="1">
        <v>1</v>
      </c>
      <c r="C7" s="1" t="s">
        <v>3</v>
      </c>
      <c r="E7" s="3">
        <v>61261</v>
      </c>
    </row>
    <row r="8" spans="1:6" x14ac:dyDescent="0.3">
      <c r="A8" s="1">
        <v>2024</v>
      </c>
      <c r="B8" s="1">
        <v>1</v>
      </c>
      <c r="C8" s="1" t="s">
        <v>4</v>
      </c>
      <c r="E8" s="3">
        <v>35978</v>
      </c>
    </row>
    <row r="9" spans="1:6" x14ac:dyDescent="0.3">
      <c r="A9" s="1">
        <v>2024</v>
      </c>
      <c r="B9" s="1">
        <v>2</v>
      </c>
      <c r="C9" s="1" t="s">
        <v>3</v>
      </c>
      <c r="E9" s="3">
        <v>61640</v>
      </c>
    </row>
    <row r="10" spans="1:6" x14ac:dyDescent="0.3">
      <c r="A10" s="1">
        <v>2024</v>
      </c>
      <c r="B10" s="1">
        <v>2</v>
      </c>
      <c r="C10" s="1" t="s">
        <v>4</v>
      </c>
      <c r="E10" s="3">
        <v>36202</v>
      </c>
    </row>
    <row r="11" spans="1:6" x14ac:dyDescent="0.3">
      <c r="A11" s="1">
        <v>2024</v>
      </c>
      <c r="B11" s="1">
        <v>3</v>
      </c>
      <c r="C11" s="1" t="s">
        <v>3</v>
      </c>
      <c r="E11" s="3">
        <v>61170</v>
      </c>
    </row>
    <row r="12" spans="1:6" x14ac:dyDescent="0.3">
      <c r="A12" s="1">
        <v>2024</v>
      </c>
      <c r="B12" s="1">
        <v>3</v>
      </c>
      <c r="C12" s="1" t="s">
        <v>4</v>
      </c>
      <c r="E12" s="3">
        <v>35925</v>
      </c>
    </row>
    <row r="13" spans="1:6" x14ac:dyDescent="0.3">
      <c r="A13" s="1">
        <v>2024</v>
      </c>
      <c r="B13" s="1">
        <v>4</v>
      </c>
      <c r="C13" s="1" t="s">
        <v>3</v>
      </c>
      <c r="E13" s="3">
        <v>61337</v>
      </c>
    </row>
    <row r="14" spans="1:6" x14ac:dyDescent="0.3">
      <c r="A14" s="1">
        <v>2024</v>
      </c>
      <c r="B14" s="1">
        <v>4</v>
      </c>
      <c r="C14" s="1" t="s">
        <v>4</v>
      </c>
      <c r="E14" s="3">
        <v>36023</v>
      </c>
    </row>
    <row r="15" spans="1:6" x14ac:dyDescent="0.3">
      <c r="A15" s="1">
        <v>2024</v>
      </c>
      <c r="B15" s="1">
        <v>5</v>
      </c>
      <c r="C15" s="1" t="s">
        <v>3</v>
      </c>
      <c r="E15" s="3">
        <v>61567</v>
      </c>
    </row>
    <row r="16" spans="1:6" x14ac:dyDescent="0.3">
      <c r="A16" s="1">
        <v>2024</v>
      </c>
      <c r="B16" s="1">
        <v>5</v>
      </c>
      <c r="C16" s="1" t="s">
        <v>4</v>
      </c>
      <c r="E16" s="3">
        <v>36159</v>
      </c>
    </row>
    <row r="17" spans="1:5" x14ac:dyDescent="0.3">
      <c r="A17" s="1">
        <v>2024</v>
      </c>
      <c r="B17" s="1">
        <v>6</v>
      </c>
      <c r="C17" s="1" t="s">
        <v>3</v>
      </c>
      <c r="E17" s="3">
        <v>61672</v>
      </c>
    </row>
    <row r="18" spans="1:5" x14ac:dyDescent="0.3">
      <c r="A18" s="1">
        <v>2024</v>
      </c>
      <c r="B18" s="1">
        <v>6</v>
      </c>
      <c r="C18" s="1" t="s">
        <v>4</v>
      </c>
      <c r="E18" s="3">
        <v>36220</v>
      </c>
    </row>
    <row r="19" spans="1:5" x14ac:dyDescent="0.3">
      <c r="A19" s="1">
        <v>2024</v>
      </c>
      <c r="B19" s="1">
        <v>7</v>
      </c>
      <c r="C19" s="1" t="s">
        <v>3</v>
      </c>
      <c r="E19" s="3">
        <v>61889</v>
      </c>
    </row>
    <row r="20" spans="1:5" x14ac:dyDescent="0.3">
      <c r="A20" s="1">
        <v>2024</v>
      </c>
      <c r="B20" s="1">
        <v>7</v>
      </c>
      <c r="C20" s="1" t="s">
        <v>4</v>
      </c>
      <c r="E20" s="3">
        <v>36348</v>
      </c>
    </row>
    <row r="21" spans="1:5" x14ac:dyDescent="0.3">
      <c r="A21" s="1">
        <v>2024</v>
      </c>
      <c r="B21" s="1">
        <v>8</v>
      </c>
      <c r="C21" s="1" t="s">
        <v>3</v>
      </c>
      <c r="E21" s="3">
        <v>61909</v>
      </c>
    </row>
    <row r="22" spans="1:5" x14ac:dyDescent="0.3">
      <c r="A22" s="1">
        <v>2024</v>
      </c>
      <c r="B22" s="1">
        <v>8</v>
      </c>
      <c r="C22" s="1" t="s">
        <v>4</v>
      </c>
      <c r="E22" s="3">
        <v>36360</v>
      </c>
    </row>
    <row r="23" spans="1:5" x14ac:dyDescent="0.3">
      <c r="A23" s="1">
        <v>2024</v>
      </c>
      <c r="B23" s="1">
        <v>9</v>
      </c>
      <c r="C23" s="1" t="s">
        <v>3</v>
      </c>
      <c r="E23" s="3">
        <v>62024</v>
      </c>
    </row>
    <row r="24" spans="1:5" x14ac:dyDescent="0.3">
      <c r="A24" s="1">
        <v>2024</v>
      </c>
      <c r="B24" s="1">
        <v>9</v>
      </c>
      <c r="C24" s="1" t="s">
        <v>4</v>
      </c>
      <c r="E24" s="3">
        <v>36427</v>
      </c>
    </row>
    <row r="25" spans="1:5" x14ac:dyDescent="0.3">
      <c r="A25" s="1">
        <v>2024</v>
      </c>
      <c r="B25" s="1">
        <v>10</v>
      </c>
      <c r="C25" s="1" t="s">
        <v>3</v>
      </c>
      <c r="E25" s="3">
        <v>61947</v>
      </c>
    </row>
    <row r="26" spans="1:5" x14ac:dyDescent="0.3">
      <c r="A26" s="1">
        <v>2024</v>
      </c>
      <c r="B26" s="1">
        <v>10</v>
      </c>
      <c r="C26" s="1" t="s">
        <v>4</v>
      </c>
      <c r="E26" s="3">
        <v>36382</v>
      </c>
    </row>
    <row r="27" spans="1:5" x14ac:dyDescent="0.3">
      <c r="A27" s="1">
        <v>2024</v>
      </c>
      <c r="B27" s="1">
        <v>11</v>
      </c>
      <c r="C27" s="1" t="s">
        <v>3</v>
      </c>
      <c r="E27" s="3">
        <v>61968</v>
      </c>
    </row>
    <row r="28" spans="1:5" x14ac:dyDescent="0.3">
      <c r="A28" s="1">
        <v>2024</v>
      </c>
      <c r="B28" s="1">
        <v>11</v>
      </c>
      <c r="C28" s="1" t="s">
        <v>4</v>
      </c>
      <c r="E28" s="3">
        <v>36394</v>
      </c>
    </row>
    <row r="29" spans="1:5" x14ac:dyDescent="0.3">
      <c r="A29" s="1">
        <v>2024</v>
      </c>
      <c r="B29" s="1">
        <v>12</v>
      </c>
      <c r="C29" s="1" t="s">
        <v>3</v>
      </c>
      <c r="E29" s="3">
        <v>61754</v>
      </c>
    </row>
    <row r="30" spans="1:5" x14ac:dyDescent="0.3">
      <c r="A30" s="1">
        <v>2024</v>
      </c>
      <c r="B30" s="1">
        <v>12</v>
      </c>
      <c r="C30" s="1" t="s">
        <v>4</v>
      </c>
      <c r="E30" s="3">
        <v>36268</v>
      </c>
    </row>
    <row r="31" spans="1:5" x14ac:dyDescent="0.3">
      <c r="A31" s="1">
        <v>2025</v>
      </c>
      <c r="B31" s="1">
        <v>1</v>
      </c>
      <c r="C31" s="1" t="s">
        <v>3</v>
      </c>
      <c r="E31" s="3">
        <v>62695</v>
      </c>
    </row>
    <row r="32" spans="1:5" x14ac:dyDescent="0.3">
      <c r="A32" s="1">
        <v>2025</v>
      </c>
      <c r="B32" s="1">
        <v>1</v>
      </c>
      <c r="C32" s="1" t="s">
        <v>4</v>
      </c>
      <c r="E32" s="3">
        <v>36821</v>
      </c>
    </row>
    <row r="33" spans="1:5" x14ac:dyDescent="0.3">
      <c r="A33" s="1">
        <v>2025</v>
      </c>
      <c r="B33" s="1">
        <v>2</v>
      </c>
      <c r="C33" s="1" t="s">
        <v>3</v>
      </c>
      <c r="E33" s="3">
        <v>62606</v>
      </c>
    </row>
    <row r="34" spans="1:5" x14ac:dyDescent="0.3">
      <c r="A34" s="1">
        <v>2025</v>
      </c>
      <c r="B34" s="1">
        <v>2</v>
      </c>
      <c r="C34" s="1" t="s">
        <v>4</v>
      </c>
      <c r="E34" s="3">
        <v>36769</v>
      </c>
    </row>
    <row r="35" spans="1:5" x14ac:dyDescent="0.3">
      <c r="A35" s="1">
        <v>2025</v>
      </c>
      <c r="B35" s="1">
        <v>3</v>
      </c>
      <c r="C35" s="1" t="s">
        <v>3</v>
      </c>
      <c r="E35" s="3">
        <v>63014</v>
      </c>
    </row>
    <row r="36" spans="1:5" x14ac:dyDescent="0.3">
      <c r="A36" s="1">
        <v>2025</v>
      </c>
      <c r="B36" s="1">
        <v>3</v>
      </c>
      <c r="C36" s="1" t="s">
        <v>4</v>
      </c>
      <c r="E36" s="3">
        <v>37008</v>
      </c>
    </row>
    <row r="37" spans="1:5" x14ac:dyDescent="0.3">
      <c r="A37" s="1">
        <v>2025</v>
      </c>
      <c r="B37" s="1">
        <v>4</v>
      </c>
      <c r="C37" s="1" t="s">
        <v>3</v>
      </c>
      <c r="E37" s="3">
        <v>62742</v>
      </c>
    </row>
    <row r="38" spans="1:5" x14ac:dyDescent="0.3">
      <c r="A38" s="1">
        <v>2025</v>
      </c>
      <c r="B38" s="1">
        <v>4</v>
      </c>
      <c r="C38" s="1" t="s">
        <v>4</v>
      </c>
      <c r="E38" s="3">
        <v>36848</v>
      </c>
    </row>
    <row r="39" spans="1:5" x14ac:dyDescent="0.3">
      <c r="A39" s="1">
        <v>2025</v>
      </c>
      <c r="B39" s="1">
        <v>5</v>
      </c>
      <c r="C39" s="1" t="s">
        <v>3</v>
      </c>
      <c r="E39" s="3">
        <v>62810</v>
      </c>
    </row>
    <row r="40" spans="1:5" x14ac:dyDescent="0.3">
      <c r="A40" s="1">
        <v>2025</v>
      </c>
      <c r="B40" s="1">
        <v>5</v>
      </c>
      <c r="C40" s="1" t="s">
        <v>4</v>
      </c>
      <c r="E40" s="3">
        <v>36888</v>
      </c>
    </row>
    <row r="41" spans="1:5" x14ac:dyDescent="0.3">
      <c r="A41" s="1">
        <v>2025</v>
      </c>
      <c r="B41" s="1">
        <v>6</v>
      </c>
      <c r="C41" s="1" t="s">
        <v>3</v>
      </c>
      <c r="E41" s="3">
        <v>62982</v>
      </c>
    </row>
    <row r="42" spans="1:5" x14ac:dyDescent="0.3">
      <c r="A42" s="1">
        <v>2025</v>
      </c>
      <c r="B42" s="1">
        <v>6</v>
      </c>
      <c r="C42" s="1" t="s">
        <v>4</v>
      </c>
      <c r="E42" s="3">
        <v>36989</v>
      </c>
    </row>
    <row r="43" spans="1:5" x14ac:dyDescent="0.3">
      <c r="A43" s="1">
        <v>2025</v>
      </c>
      <c r="B43" s="1">
        <v>7</v>
      </c>
      <c r="C43" s="1" t="s">
        <v>3</v>
      </c>
      <c r="E43" s="3">
        <v>63030</v>
      </c>
    </row>
    <row r="44" spans="1:5" x14ac:dyDescent="0.3">
      <c r="A44" s="1">
        <v>2025</v>
      </c>
      <c r="B44" s="1">
        <v>7</v>
      </c>
      <c r="C44" s="1" t="s">
        <v>4</v>
      </c>
      <c r="E44" s="3">
        <v>37018</v>
      </c>
    </row>
    <row r="45" spans="1:5" x14ac:dyDescent="0.3">
      <c r="A45" s="1">
        <v>2025</v>
      </c>
      <c r="B45" s="1">
        <v>8</v>
      </c>
      <c r="C45" s="1" t="s">
        <v>3</v>
      </c>
      <c r="E45" s="3">
        <v>63406</v>
      </c>
    </row>
    <row r="46" spans="1:5" x14ac:dyDescent="0.3">
      <c r="A46" s="1">
        <v>2025</v>
      </c>
      <c r="B46" s="1">
        <v>8</v>
      </c>
      <c r="C46" s="1" t="s">
        <v>4</v>
      </c>
      <c r="E46" s="3">
        <v>37238</v>
      </c>
    </row>
    <row r="47" spans="1:5" x14ac:dyDescent="0.3">
      <c r="A47" s="1">
        <v>2025</v>
      </c>
      <c r="B47" s="1">
        <v>9</v>
      </c>
      <c r="C47" s="1" t="s">
        <v>3</v>
      </c>
      <c r="E47" s="3">
        <v>62970</v>
      </c>
    </row>
    <row r="48" spans="1:5" x14ac:dyDescent="0.3">
      <c r="A48" s="1">
        <v>2025</v>
      </c>
      <c r="B48" s="1">
        <v>9</v>
      </c>
      <c r="C48" s="1" t="s">
        <v>4</v>
      </c>
      <c r="E48" s="3">
        <v>36983</v>
      </c>
    </row>
    <row r="49" spans="1:6" x14ac:dyDescent="0.3">
      <c r="A49" s="1">
        <v>2025</v>
      </c>
      <c r="B49" s="1">
        <v>10</v>
      </c>
      <c r="C49" s="1" t="s">
        <v>3</v>
      </c>
      <c r="E49" s="3">
        <v>62931</v>
      </c>
    </row>
    <row r="50" spans="1:6" x14ac:dyDescent="0.3">
      <c r="A50" s="1">
        <v>2025</v>
      </c>
      <c r="B50" s="1">
        <v>10</v>
      </c>
      <c r="C50" s="1" t="s">
        <v>4</v>
      </c>
      <c r="E50" s="3">
        <v>36960</v>
      </c>
    </row>
    <row r="51" spans="1:6" x14ac:dyDescent="0.3">
      <c r="A51" s="1">
        <v>2025</v>
      </c>
      <c r="B51" s="1">
        <v>11</v>
      </c>
      <c r="C51" s="1" t="s">
        <v>3</v>
      </c>
      <c r="E51" s="3">
        <v>63238</v>
      </c>
    </row>
    <row r="52" spans="1:6" x14ac:dyDescent="0.3">
      <c r="A52" s="1">
        <v>2025</v>
      </c>
      <c r="B52" s="1">
        <v>11</v>
      </c>
      <c r="C52" s="1" t="s">
        <v>4</v>
      </c>
      <c r="E52" s="3">
        <v>37139</v>
      </c>
    </row>
    <row r="53" spans="1:6" x14ac:dyDescent="0.3">
      <c r="A53" s="1">
        <v>2024</v>
      </c>
      <c r="B53" s="1">
        <v>1</v>
      </c>
      <c r="C53" s="1" t="s">
        <v>3</v>
      </c>
      <c r="D53" s="1" t="s">
        <v>25</v>
      </c>
      <c r="F53" s="2">
        <v>20351216.440000001</v>
      </c>
    </row>
    <row r="54" spans="1:6" x14ac:dyDescent="0.3">
      <c r="A54" s="1">
        <v>2024</v>
      </c>
      <c r="B54" s="1">
        <v>1</v>
      </c>
      <c r="C54" s="1" t="s">
        <v>3</v>
      </c>
      <c r="D54" s="1" t="s">
        <v>26</v>
      </c>
      <c r="F54" s="2">
        <v>30526824.66</v>
      </c>
    </row>
    <row r="55" spans="1:6" x14ac:dyDescent="0.3">
      <c r="A55" s="1">
        <v>2024</v>
      </c>
      <c r="B55" s="1">
        <v>1</v>
      </c>
      <c r="C55" s="1" t="s">
        <v>4</v>
      </c>
      <c r="D55" s="1" t="s">
        <v>25</v>
      </c>
      <c r="F55" s="2">
        <v>14557014.390000001</v>
      </c>
    </row>
    <row r="56" spans="1:6" x14ac:dyDescent="0.3">
      <c r="A56" s="1">
        <v>2024</v>
      </c>
      <c r="B56" s="1">
        <v>1</v>
      </c>
      <c r="C56" s="1" t="s">
        <v>4</v>
      </c>
      <c r="D56" s="1" t="s">
        <v>26</v>
      </c>
      <c r="F56" s="2">
        <v>21835521.59</v>
      </c>
    </row>
    <row r="57" spans="1:6" x14ac:dyDescent="0.3">
      <c r="A57" s="1">
        <v>2024</v>
      </c>
      <c r="B57" s="1">
        <v>2</v>
      </c>
      <c r="C57" s="1" t="s">
        <v>3</v>
      </c>
      <c r="D57" s="1" t="s">
        <v>25</v>
      </c>
      <c r="F57" s="2">
        <v>20212088.079999998</v>
      </c>
    </row>
    <row r="58" spans="1:6" x14ac:dyDescent="0.3">
      <c r="A58" s="1">
        <v>2024</v>
      </c>
      <c r="B58" s="1">
        <v>2</v>
      </c>
      <c r="C58" s="1" t="s">
        <v>3</v>
      </c>
      <c r="D58" s="1" t="s">
        <v>26</v>
      </c>
      <c r="F58" s="2">
        <v>30318132.120000001</v>
      </c>
    </row>
    <row r="59" spans="1:6" x14ac:dyDescent="0.3">
      <c r="A59" s="1">
        <v>2024</v>
      </c>
      <c r="B59" s="1">
        <v>2</v>
      </c>
      <c r="C59" s="1" t="s">
        <v>4</v>
      </c>
      <c r="D59" s="1" t="s">
        <v>25</v>
      </c>
      <c r="F59" s="2">
        <v>14458063.189999999</v>
      </c>
    </row>
    <row r="60" spans="1:6" x14ac:dyDescent="0.3">
      <c r="A60" s="1">
        <v>2024</v>
      </c>
      <c r="B60" s="1">
        <v>2</v>
      </c>
      <c r="C60" s="1" t="s">
        <v>4</v>
      </c>
      <c r="D60" s="1" t="s">
        <v>26</v>
      </c>
      <c r="F60" s="2">
        <v>21687094.789999999</v>
      </c>
    </row>
    <row r="61" spans="1:6" x14ac:dyDescent="0.3">
      <c r="A61" s="1">
        <v>2024</v>
      </c>
      <c r="B61" s="1">
        <v>3</v>
      </c>
      <c r="C61" s="1" t="s">
        <v>3</v>
      </c>
      <c r="D61" s="1" t="s">
        <v>25</v>
      </c>
      <c r="F61" s="2">
        <v>20133312.699999999</v>
      </c>
    </row>
    <row r="62" spans="1:6" x14ac:dyDescent="0.3">
      <c r="A62" s="1">
        <v>2024</v>
      </c>
      <c r="B62" s="1">
        <v>3</v>
      </c>
      <c r="C62" s="1" t="s">
        <v>3</v>
      </c>
      <c r="D62" s="1" t="s">
        <v>26</v>
      </c>
      <c r="F62" s="2">
        <v>30199969.050000001</v>
      </c>
    </row>
    <row r="63" spans="1:6" x14ac:dyDescent="0.3">
      <c r="A63" s="1">
        <v>2024</v>
      </c>
      <c r="B63" s="1">
        <v>3</v>
      </c>
      <c r="C63" s="1" t="s">
        <v>4</v>
      </c>
      <c r="D63" s="1" t="s">
        <v>25</v>
      </c>
      <c r="F63" s="2">
        <v>14401327.859999999</v>
      </c>
    </row>
    <row r="64" spans="1:6" x14ac:dyDescent="0.3">
      <c r="A64" s="1">
        <v>2024</v>
      </c>
      <c r="B64" s="1">
        <v>3</v>
      </c>
      <c r="C64" s="1" t="s">
        <v>4</v>
      </c>
      <c r="D64" s="1" t="s">
        <v>26</v>
      </c>
      <c r="F64" s="2">
        <v>21601991.789999999</v>
      </c>
    </row>
    <row r="65" spans="1:6" x14ac:dyDescent="0.3">
      <c r="A65" s="1">
        <v>2024</v>
      </c>
      <c r="B65" s="1">
        <v>4</v>
      </c>
      <c r="C65" s="1" t="s">
        <v>3</v>
      </c>
      <c r="D65" s="1" t="s">
        <v>25</v>
      </c>
      <c r="F65" s="2">
        <v>19195392.530000001</v>
      </c>
    </row>
    <row r="66" spans="1:6" x14ac:dyDescent="0.3">
      <c r="A66" s="1">
        <v>2024</v>
      </c>
      <c r="B66" s="1">
        <v>4</v>
      </c>
      <c r="C66" s="1" t="s">
        <v>3</v>
      </c>
      <c r="D66" s="1" t="s">
        <v>26</v>
      </c>
      <c r="F66" s="2">
        <v>28793088.800000001</v>
      </c>
    </row>
    <row r="67" spans="1:6" x14ac:dyDescent="0.3">
      <c r="A67" s="1">
        <v>2024</v>
      </c>
      <c r="B67" s="1">
        <v>4</v>
      </c>
      <c r="C67" s="1" t="s">
        <v>4</v>
      </c>
      <c r="D67" s="1" t="s">
        <v>25</v>
      </c>
      <c r="F67" s="2">
        <v>13730405</v>
      </c>
    </row>
    <row r="68" spans="1:6" x14ac:dyDescent="0.3">
      <c r="A68" s="1">
        <v>2024</v>
      </c>
      <c r="B68" s="1">
        <v>4</v>
      </c>
      <c r="C68" s="1" t="s">
        <v>4</v>
      </c>
      <c r="D68" s="1" t="s">
        <v>26</v>
      </c>
      <c r="F68" s="2">
        <v>20595607.489999998</v>
      </c>
    </row>
    <row r="69" spans="1:6" x14ac:dyDescent="0.3">
      <c r="A69" s="1">
        <v>2024</v>
      </c>
      <c r="B69" s="1">
        <v>5</v>
      </c>
      <c r="C69" s="1" t="s">
        <v>3</v>
      </c>
      <c r="D69" s="1" t="s">
        <v>25</v>
      </c>
      <c r="F69" s="2">
        <v>19218796.010000002</v>
      </c>
    </row>
    <row r="70" spans="1:6" x14ac:dyDescent="0.3">
      <c r="A70" s="1">
        <v>2024</v>
      </c>
      <c r="B70" s="1">
        <v>5</v>
      </c>
      <c r="C70" s="1" t="s">
        <v>3</v>
      </c>
      <c r="D70" s="1" t="s">
        <v>26</v>
      </c>
      <c r="F70" s="2">
        <v>28828194.010000002</v>
      </c>
    </row>
    <row r="71" spans="1:6" x14ac:dyDescent="0.3">
      <c r="A71" s="1">
        <v>2024</v>
      </c>
      <c r="B71" s="1">
        <v>5</v>
      </c>
      <c r="C71" s="1" t="s">
        <v>4</v>
      </c>
      <c r="D71" s="1" t="s">
        <v>25</v>
      </c>
      <c r="F71" s="2">
        <v>13747495.9</v>
      </c>
    </row>
    <row r="72" spans="1:6" x14ac:dyDescent="0.3">
      <c r="A72" s="1">
        <v>2024</v>
      </c>
      <c r="B72" s="1">
        <v>5</v>
      </c>
      <c r="C72" s="1" t="s">
        <v>4</v>
      </c>
      <c r="D72" s="1" t="s">
        <v>26</v>
      </c>
      <c r="F72" s="2">
        <v>20621243.850000001</v>
      </c>
    </row>
    <row r="73" spans="1:6" x14ac:dyDescent="0.3">
      <c r="A73" s="1">
        <v>2024</v>
      </c>
      <c r="B73" s="1">
        <v>6</v>
      </c>
      <c r="C73" s="1" t="s">
        <v>3</v>
      </c>
      <c r="D73" s="1" t="s">
        <v>25</v>
      </c>
      <c r="F73" s="2">
        <v>18616341.899999999</v>
      </c>
    </row>
    <row r="74" spans="1:6" x14ac:dyDescent="0.3">
      <c r="A74" s="1">
        <v>2024</v>
      </c>
      <c r="B74" s="1">
        <v>6</v>
      </c>
      <c r="C74" s="1" t="s">
        <v>3</v>
      </c>
      <c r="D74" s="1" t="s">
        <v>26</v>
      </c>
      <c r="F74" s="2">
        <v>27924512.84</v>
      </c>
    </row>
    <row r="75" spans="1:6" x14ac:dyDescent="0.3">
      <c r="A75" s="1">
        <v>2024</v>
      </c>
      <c r="B75" s="1">
        <v>6</v>
      </c>
      <c r="C75" s="1" t="s">
        <v>4</v>
      </c>
      <c r="D75" s="1" t="s">
        <v>25</v>
      </c>
      <c r="F75" s="2">
        <v>13316305.869999999</v>
      </c>
    </row>
    <row r="76" spans="1:6" x14ac:dyDescent="0.3">
      <c r="A76" s="1">
        <v>2024</v>
      </c>
      <c r="B76" s="1">
        <v>6</v>
      </c>
      <c r="C76" s="1" t="s">
        <v>4</v>
      </c>
      <c r="D76" s="1" t="s">
        <v>26</v>
      </c>
      <c r="F76" s="2">
        <v>19974458.809999999</v>
      </c>
    </row>
    <row r="77" spans="1:6" x14ac:dyDescent="0.3">
      <c r="A77" s="1">
        <v>2024</v>
      </c>
      <c r="B77" s="1">
        <v>7</v>
      </c>
      <c r="C77" s="1" t="s">
        <v>3</v>
      </c>
      <c r="D77" s="1" t="s">
        <v>25</v>
      </c>
      <c r="F77" s="2">
        <v>18355519.350000001</v>
      </c>
    </row>
    <row r="78" spans="1:6" x14ac:dyDescent="0.3">
      <c r="A78" s="1">
        <v>2024</v>
      </c>
      <c r="B78" s="1">
        <v>7</v>
      </c>
      <c r="C78" s="1" t="s">
        <v>3</v>
      </c>
      <c r="D78" s="1" t="s">
        <v>26</v>
      </c>
      <c r="F78" s="2">
        <v>27533279.030000001</v>
      </c>
    </row>
    <row r="79" spans="1:6" x14ac:dyDescent="0.3">
      <c r="A79" s="1">
        <v>2024</v>
      </c>
      <c r="B79" s="1">
        <v>7</v>
      </c>
      <c r="C79" s="1" t="s">
        <v>4</v>
      </c>
      <c r="D79" s="1" t="s">
        <v>25</v>
      </c>
      <c r="F79" s="2">
        <v>13129939.76</v>
      </c>
    </row>
    <row r="80" spans="1:6" x14ac:dyDescent="0.3">
      <c r="A80" s="1">
        <v>2024</v>
      </c>
      <c r="B80" s="1">
        <v>7</v>
      </c>
      <c r="C80" s="1" t="s">
        <v>4</v>
      </c>
      <c r="D80" s="1" t="s">
        <v>26</v>
      </c>
      <c r="F80" s="2">
        <v>19694909.640000001</v>
      </c>
    </row>
    <row r="81" spans="1:6" x14ac:dyDescent="0.3">
      <c r="A81" s="1">
        <v>2024</v>
      </c>
      <c r="B81" s="1">
        <v>8</v>
      </c>
      <c r="C81" s="1" t="s">
        <v>3</v>
      </c>
      <c r="D81" s="1" t="s">
        <v>25</v>
      </c>
      <c r="F81" s="2">
        <v>18184415.149999999</v>
      </c>
    </row>
    <row r="82" spans="1:6" x14ac:dyDescent="0.3">
      <c r="A82" s="1">
        <v>2024</v>
      </c>
      <c r="B82" s="1">
        <v>8</v>
      </c>
      <c r="C82" s="1" t="s">
        <v>3</v>
      </c>
      <c r="D82" s="1" t="s">
        <v>26</v>
      </c>
      <c r="F82" s="2">
        <v>27276622.73</v>
      </c>
    </row>
    <row r="83" spans="1:6" x14ac:dyDescent="0.3">
      <c r="A83" s="1">
        <v>2024</v>
      </c>
      <c r="B83" s="1">
        <v>8</v>
      </c>
      <c r="C83" s="1" t="s">
        <v>4</v>
      </c>
      <c r="D83" s="1" t="s">
        <v>25</v>
      </c>
      <c r="F83" s="2">
        <v>13007637.52</v>
      </c>
    </row>
    <row r="84" spans="1:6" x14ac:dyDescent="0.3">
      <c r="A84" s="1">
        <v>2024</v>
      </c>
      <c r="B84" s="1">
        <v>8</v>
      </c>
      <c r="C84" s="1" t="s">
        <v>4</v>
      </c>
      <c r="D84" s="1" t="s">
        <v>26</v>
      </c>
      <c r="F84" s="2">
        <v>19511456.280000001</v>
      </c>
    </row>
    <row r="85" spans="1:6" x14ac:dyDescent="0.3">
      <c r="A85" s="1">
        <v>2024</v>
      </c>
      <c r="B85" s="1">
        <v>9</v>
      </c>
      <c r="C85" s="1" t="s">
        <v>3</v>
      </c>
      <c r="D85" s="1" t="s">
        <v>25</v>
      </c>
      <c r="F85" s="2">
        <v>19367729.43</v>
      </c>
    </row>
    <row r="86" spans="1:6" x14ac:dyDescent="0.3">
      <c r="A86" s="1">
        <v>2024</v>
      </c>
      <c r="B86" s="1">
        <v>9</v>
      </c>
      <c r="C86" s="1" t="s">
        <v>3</v>
      </c>
      <c r="D86" s="1" t="s">
        <v>26</v>
      </c>
      <c r="F86" s="2">
        <v>29051594.140000001</v>
      </c>
    </row>
    <row r="87" spans="1:6" x14ac:dyDescent="0.3">
      <c r="A87" s="1">
        <v>2024</v>
      </c>
      <c r="B87" s="1">
        <v>9</v>
      </c>
      <c r="C87" s="1" t="s">
        <v>4</v>
      </c>
      <c r="D87" s="1" t="s">
        <v>25</v>
      </c>
      <c r="F87" s="2">
        <v>13853877.609999999</v>
      </c>
    </row>
    <row r="88" spans="1:6" x14ac:dyDescent="0.3">
      <c r="A88" s="1">
        <v>2024</v>
      </c>
      <c r="B88" s="1">
        <v>9</v>
      </c>
      <c r="C88" s="1" t="s">
        <v>4</v>
      </c>
      <c r="D88" s="1" t="s">
        <v>26</v>
      </c>
      <c r="F88" s="2">
        <v>20780816.420000002</v>
      </c>
    </row>
    <row r="89" spans="1:6" x14ac:dyDescent="0.3">
      <c r="A89" s="1">
        <v>2024</v>
      </c>
      <c r="B89" s="1">
        <v>10</v>
      </c>
      <c r="C89" s="1" t="s">
        <v>3</v>
      </c>
      <c r="D89" s="1" t="s">
        <v>25</v>
      </c>
      <c r="F89" s="2">
        <v>19743787.57</v>
      </c>
    </row>
    <row r="90" spans="1:6" x14ac:dyDescent="0.3">
      <c r="A90" s="1">
        <v>2024</v>
      </c>
      <c r="B90" s="1">
        <v>10</v>
      </c>
      <c r="C90" s="1" t="s">
        <v>3</v>
      </c>
      <c r="D90" s="1" t="s">
        <v>26</v>
      </c>
      <c r="F90" s="2">
        <v>29615681.359999999</v>
      </c>
    </row>
    <row r="91" spans="1:6" x14ac:dyDescent="0.3">
      <c r="A91" s="1">
        <v>2024</v>
      </c>
      <c r="B91" s="1">
        <v>10</v>
      </c>
      <c r="C91" s="1" t="s">
        <v>4</v>
      </c>
      <c r="D91" s="1" t="s">
        <v>25</v>
      </c>
      <c r="F91" s="2">
        <v>14122961.1</v>
      </c>
    </row>
    <row r="92" spans="1:6" x14ac:dyDescent="0.3">
      <c r="A92" s="1">
        <v>2024</v>
      </c>
      <c r="B92" s="1">
        <v>10</v>
      </c>
      <c r="C92" s="1" t="s">
        <v>4</v>
      </c>
      <c r="D92" s="1" t="s">
        <v>26</v>
      </c>
      <c r="F92" s="2">
        <v>21184441.649999999</v>
      </c>
    </row>
    <row r="93" spans="1:6" x14ac:dyDescent="0.3">
      <c r="A93" s="1">
        <v>2024</v>
      </c>
      <c r="B93" s="1">
        <v>11</v>
      </c>
      <c r="C93" s="1" t="s">
        <v>3</v>
      </c>
      <c r="D93" s="1" t="s">
        <v>25</v>
      </c>
      <c r="F93" s="2">
        <v>21572805.550000001</v>
      </c>
    </row>
    <row r="94" spans="1:6" x14ac:dyDescent="0.3">
      <c r="A94" s="1">
        <v>2024</v>
      </c>
      <c r="B94" s="1">
        <v>11</v>
      </c>
      <c r="C94" s="1" t="s">
        <v>3</v>
      </c>
      <c r="D94" s="1" t="s">
        <v>26</v>
      </c>
      <c r="F94" s="2">
        <v>32359208.32</v>
      </c>
    </row>
    <row r="95" spans="1:6" x14ac:dyDescent="0.3">
      <c r="A95" s="1">
        <v>2024</v>
      </c>
      <c r="B95" s="1">
        <v>11</v>
      </c>
      <c r="C95" s="1" t="s">
        <v>4</v>
      </c>
      <c r="D95" s="1" t="s">
        <v>25</v>
      </c>
      <c r="F95" s="2">
        <v>15431137.550000001</v>
      </c>
    </row>
    <row r="96" spans="1:6" x14ac:dyDescent="0.3">
      <c r="A96" s="1">
        <v>2024</v>
      </c>
      <c r="B96" s="1">
        <v>11</v>
      </c>
      <c r="C96" s="1" t="s">
        <v>4</v>
      </c>
      <c r="D96" s="1" t="s">
        <v>26</v>
      </c>
      <c r="F96" s="2">
        <v>23146706.329999998</v>
      </c>
    </row>
    <row r="97" spans="1:6" x14ac:dyDescent="0.3">
      <c r="A97" s="1">
        <v>2024</v>
      </c>
      <c r="B97" s="1">
        <v>12</v>
      </c>
      <c r="C97" s="1" t="s">
        <v>3</v>
      </c>
      <c r="D97" s="1" t="s">
        <v>25</v>
      </c>
      <c r="F97" s="2">
        <v>21951078.760000002</v>
      </c>
    </row>
    <row r="98" spans="1:6" x14ac:dyDescent="0.3">
      <c r="A98" s="1">
        <v>2024</v>
      </c>
      <c r="B98" s="1">
        <v>12</v>
      </c>
      <c r="C98" s="1" t="s">
        <v>3</v>
      </c>
      <c r="D98" s="1" t="s">
        <v>26</v>
      </c>
      <c r="F98" s="2">
        <v>32926618.140000001</v>
      </c>
    </row>
    <row r="99" spans="1:6" x14ac:dyDescent="0.3">
      <c r="A99" s="1">
        <v>2024</v>
      </c>
      <c r="B99" s="1">
        <v>12</v>
      </c>
      <c r="C99" s="1" t="s">
        <v>4</v>
      </c>
      <c r="D99" s="1" t="s">
        <v>25</v>
      </c>
      <c r="F99" s="2">
        <v>15701581.01</v>
      </c>
    </row>
    <row r="100" spans="1:6" x14ac:dyDescent="0.3">
      <c r="A100" s="1">
        <v>2024</v>
      </c>
      <c r="B100" s="1">
        <v>12</v>
      </c>
      <c r="C100" s="1" t="s">
        <v>4</v>
      </c>
      <c r="D100" s="1" t="s">
        <v>26</v>
      </c>
      <c r="F100" s="2">
        <v>23552371.52</v>
      </c>
    </row>
    <row r="101" spans="1:6" x14ac:dyDescent="0.3">
      <c r="A101" s="1">
        <v>2025</v>
      </c>
      <c r="B101" s="1">
        <v>1</v>
      </c>
      <c r="C101" s="1" t="s">
        <v>3</v>
      </c>
      <c r="D101" s="1" t="s">
        <v>25</v>
      </c>
      <c r="F101" s="2">
        <v>21766028.109999999</v>
      </c>
    </row>
    <row r="102" spans="1:6" x14ac:dyDescent="0.3">
      <c r="A102" s="1">
        <v>2025</v>
      </c>
      <c r="B102" s="1">
        <v>1</v>
      </c>
      <c r="C102" s="1" t="s">
        <v>3</v>
      </c>
      <c r="D102" s="1" t="s">
        <v>26</v>
      </c>
      <c r="F102" s="2">
        <v>32649042.170000002</v>
      </c>
    </row>
    <row r="103" spans="1:6" x14ac:dyDescent="0.3">
      <c r="A103" s="1">
        <v>2025</v>
      </c>
      <c r="B103" s="1">
        <v>1</v>
      </c>
      <c r="C103" s="1" t="s">
        <v>4</v>
      </c>
      <c r="D103" s="1" t="s">
        <v>25</v>
      </c>
      <c r="F103" s="2">
        <v>15569363.59</v>
      </c>
    </row>
    <row r="104" spans="1:6" x14ac:dyDescent="0.3">
      <c r="A104" s="1">
        <v>2025</v>
      </c>
      <c r="B104" s="1">
        <v>1</v>
      </c>
      <c r="C104" s="1" t="s">
        <v>4</v>
      </c>
      <c r="D104" s="1" t="s">
        <v>26</v>
      </c>
      <c r="F104" s="2">
        <v>23354045.379999999</v>
      </c>
    </row>
    <row r="105" spans="1:6" x14ac:dyDescent="0.3">
      <c r="A105" s="1">
        <v>2025</v>
      </c>
      <c r="B105" s="1">
        <v>2</v>
      </c>
      <c r="C105" s="1" t="s">
        <v>3</v>
      </c>
      <c r="D105" s="1" t="s">
        <v>25</v>
      </c>
      <c r="F105" s="2">
        <v>21798874.714868598</v>
      </c>
    </row>
    <row r="106" spans="1:6" x14ac:dyDescent="0.3">
      <c r="A106" s="1">
        <v>2025</v>
      </c>
      <c r="B106" s="1">
        <v>2</v>
      </c>
      <c r="C106" s="1" t="s">
        <v>3</v>
      </c>
      <c r="D106" s="1" t="s">
        <v>26</v>
      </c>
      <c r="F106" s="2">
        <v>32746079.332075816</v>
      </c>
    </row>
    <row r="107" spans="1:6" x14ac:dyDescent="0.3">
      <c r="A107" s="1">
        <v>2025</v>
      </c>
      <c r="B107" s="1">
        <v>2</v>
      </c>
      <c r="C107" s="1" t="s">
        <v>4</v>
      </c>
      <c r="D107" s="1" t="s">
        <v>25</v>
      </c>
      <c r="F107" s="2">
        <v>15591037.737846004</v>
      </c>
    </row>
    <row r="108" spans="1:6" x14ac:dyDescent="0.3">
      <c r="A108" s="1">
        <v>2025</v>
      </c>
      <c r="B108" s="1">
        <v>2</v>
      </c>
      <c r="C108" s="1" t="s">
        <v>4</v>
      </c>
      <c r="D108" s="1" t="s">
        <v>26</v>
      </c>
      <c r="F108" s="2">
        <v>23416516.720982905</v>
      </c>
    </row>
    <row r="109" spans="1:6" x14ac:dyDescent="0.3">
      <c r="A109" s="1">
        <v>2025</v>
      </c>
      <c r="B109" s="1">
        <v>3</v>
      </c>
      <c r="C109" s="1" t="s">
        <v>3</v>
      </c>
      <c r="D109" s="1" t="s">
        <v>25</v>
      </c>
      <c r="F109" s="2">
        <v>21122665.289987847</v>
      </c>
    </row>
    <row r="110" spans="1:6" x14ac:dyDescent="0.3">
      <c r="A110" s="1">
        <v>2025</v>
      </c>
      <c r="B110" s="1">
        <v>3</v>
      </c>
      <c r="C110" s="1" t="s">
        <v>3</v>
      </c>
      <c r="D110" s="1" t="s">
        <v>26</v>
      </c>
      <c r="F110" s="2">
        <v>31703327.482112266</v>
      </c>
    </row>
    <row r="111" spans="1:6" x14ac:dyDescent="0.3">
      <c r="A111" s="1">
        <v>2025</v>
      </c>
      <c r="B111" s="1">
        <v>3</v>
      </c>
      <c r="C111" s="1" t="s">
        <v>4</v>
      </c>
      <c r="D111" s="1" t="s">
        <v>25</v>
      </c>
      <c r="F111" s="2">
        <v>15129394.569087185</v>
      </c>
    </row>
    <row r="112" spans="1:6" x14ac:dyDescent="0.3">
      <c r="A112" s="1">
        <v>2025</v>
      </c>
      <c r="B112" s="1">
        <v>3</v>
      </c>
      <c r="C112" s="1" t="s">
        <v>4</v>
      </c>
      <c r="D112" s="1" t="s">
        <v>26</v>
      </c>
      <c r="F112" s="2">
        <v>22527722.077929981</v>
      </c>
    </row>
    <row r="113" spans="1:6" x14ac:dyDescent="0.3">
      <c r="A113" s="1">
        <v>2025</v>
      </c>
      <c r="B113" s="1">
        <v>4</v>
      </c>
      <c r="C113" s="1" t="s">
        <v>3</v>
      </c>
      <c r="D113" s="1" t="s">
        <v>25</v>
      </c>
      <c r="F113" s="2">
        <v>19509070.231032945</v>
      </c>
    </row>
    <row r="114" spans="1:6" x14ac:dyDescent="0.3">
      <c r="A114" s="1">
        <v>2025</v>
      </c>
      <c r="B114" s="1">
        <v>4</v>
      </c>
      <c r="C114" s="1" t="s">
        <v>3</v>
      </c>
      <c r="D114" s="1" t="s">
        <v>26</v>
      </c>
      <c r="F114" s="2">
        <v>31486936.4527057</v>
      </c>
    </row>
    <row r="115" spans="1:6" x14ac:dyDescent="0.3">
      <c r="A115" s="1">
        <v>2025</v>
      </c>
      <c r="B115" s="1">
        <v>4</v>
      </c>
      <c r="C115" s="1" t="s">
        <v>4</v>
      </c>
      <c r="D115" s="1" t="s">
        <v>25</v>
      </c>
      <c r="F115" s="2">
        <v>15209069.434194408</v>
      </c>
    </row>
    <row r="116" spans="1:6" x14ac:dyDescent="0.3">
      <c r="A116" s="1">
        <v>2025</v>
      </c>
      <c r="B116" s="1">
        <v>4</v>
      </c>
      <c r="C116" s="1" t="s">
        <v>4</v>
      </c>
      <c r="D116" s="1" t="s">
        <v>26</v>
      </c>
      <c r="F116" s="2">
        <v>22961900.137713462</v>
      </c>
    </row>
    <row r="117" spans="1:6" x14ac:dyDescent="0.3">
      <c r="A117" s="1">
        <v>2025</v>
      </c>
      <c r="B117" s="1">
        <v>5</v>
      </c>
      <c r="C117" s="1" t="s">
        <v>3</v>
      </c>
      <c r="D117" s="1" t="s">
        <v>25</v>
      </c>
      <c r="F117" s="2">
        <v>19731307.80871043</v>
      </c>
    </row>
    <row r="118" spans="1:6" x14ac:dyDescent="0.3">
      <c r="A118" s="1">
        <v>2025</v>
      </c>
      <c r="B118" s="1">
        <v>5</v>
      </c>
      <c r="C118" s="1" t="s">
        <v>3</v>
      </c>
      <c r="D118" s="1" t="s">
        <v>26</v>
      </c>
      <c r="F118" s="2">
        <v>29807016.255537212</v>
      </c>
    </row>
    <row r="119" spans="1:6" x14ac:dyDescent="0.3">
      <c r="A119" s="1">
        <v>2025</v>
      </c>
      <c r="B119" s="1">
        <v>5</v>
      </c>
      <c r="C119" s="1" t="s">
        <v>4</v>
      </c>
      <c r="D119" s="1" t="s">
        <v>25</v>
      </c>
      <c r="F119" s="2">
        <v>13532718.34297258</v>
      </c>
    </row>
    <row r="120" spans="1:6" x14ac:dyDescent="0.3">
      <c r="A120" s="1">
        <v>2025</v>
      </c>
      <c r="B120" s="1">
        <v>5</v>
      </c>
      <c r="C120" s="1" t="s">
        <v>4</v>
      </c>
      <c r="D120" s="1" t="s">
        <v>26</v>
      </c>
      <c r="F120" s="2">
        <v>21408435.301839739</v>
      </c>
    </row>
    <row r="121" spans="1:6" x14ac:dyDescent="0.3">
      <c r="A121" s="1">
        <v>2025</v>
      </c>
      <c r="B121" s="1">
        <v>6</v>
      </c>
      <c r="C121" s="1" t="s">
        <v>3</v>
      </c>
      <c r="D121" s="1" t="s">
        <v>25</v>
      </c>
      <c r="F121" s="2">
        <v>18971875.803121988</v>
      </c>
    </row>
    <row r="122" spans="1:6" x14ac:dyDescent="0.3">
      <c r="A122" s="1">
        <v>2025</v>
      </c>
      <c r="B122" s="1">
        <v>6</v>
      </c>
      <c r="C122" s="1" t="s">
        <v>3</v>
      </c>
      <c r="D122" s="1" t="s">
        <v>26</v>
      </c>
      <c r="F122" s="2">
        <v>29880513.281801075</v>
      </c>
    </row>
    <row r="123" spans="1:6" x14ac:dyDescent="0.3">
      <c r="A123" s="1">
        <v>2025</v>
      </c>
      <c r="B123" s="1">
        <v>6</v>
      </c>
      <c r="C123" s="1" t="s">
        <v>4</v>
      </c>
      <c r="D123" s="1" t="s">
        <v>25</v>
      </c>
      <c r="F123" s="2">
        <v>13017476.163489785</v>
      </c>
    </row>
    <row r="124" spans="1:6" x14ac:dyDescent="0.3">
      <c r="A124" s="1">
        <v>2025</v>
      </c>
      <c r="B124" s="1">
        <v>6</v>
      </c>
      <c r="C124" s="1" t="s">
        <v>4</v>
      </c>
      <c r="D124" s="1" t="s">
        <v>26</v>
      </c>
      <c r="F124" s="2">
        <v>21131134.343906224</v>
      </c>
    </row>
    <row r="125" spans="1:6" x14ac:dyDescent="0.3">
      <c r="A125" s="1">
        <v>2025</v>
      </c>
      <c r="B125" s="1">
        <v>7</v>
      </c>
      <c r="C125" s="1" t="s">
        <v>3</v>
      </c>
      <c r="D125" s="1" t="s">
        <v>25</v>
      </c>
      <c r="F125" s="2">
        <v>21168661.131145503</v>
      </c>
    </row>
    <row r="126" spans="1:6" x14ac:dyDescent="0.3">
      <c r="A126" s="1">
        <v>2025</v>
      </c>
      <c r="B126" s="1">
        <v>7</v>
      </c>
      <c r="C126" s="1" t="s">
        <v>3</v>
      </c>
      <c r="D126" s="1" t="s">
        <v>26</v>
      </c>
      <c r="F126" s="2">
        <v>29396277.858748287</v>
      </c>
    </row>
    <row r="127" spans="1:6" x14ac:dyDescent="0.3">
      <c r="A127" s="1">
        <v>2025</v>
      </c>
      <c r="B127" s="1">
        <v>7</v>
      </c>
      <c r="C127" s="1" t="s">
        <v>4</v>
      </c>
      <c r="D127" s="1" t="s">
        <v>25</v>
      </c>
      <c r="F127" s="2">
        <v>15915071.790443083</v>
      </c>
    </row>
    <row r="128" spans="1:6" x14ac:dyDescent="0.3">
      <c r="A128" s="1">
        <v>2025</v>
      </c>
      <c r="B128" s="1">
        <v>7</v>
      </c>
      <c r="C128" s="1" t="s">
        <v>4</v>
      </c>
      <c r="D128" s="1" t="s">
        <v>26</v>
      </c>
      <c r="F128" s="2">
        <v>22056412.11659658</v>
      </c>
    </row>
    <row r="129" spans="1:6" x14ac:dyDescent="0.3">
      <c r="A129" s="1">
        <v>2025</v>
      </c>
      <c r="B129" s="1">
        <v>8</v>
      </c>
      <c r="C129" s="1" t="s">
        <v>3</v>
      </c>
      <c r="D129" s="1" t="s">
        <v>25</v>
      </c>
      <c r="F129" s="2">
        <v>20176678.644636773</v>
      </c>
    </row>
    <row r="130" spans="1:6" x14ac:dyDescent="0.3">
      <c r="A130" s="1">
        <v>2025</v>
      </c>
      <c r="B130" s="1">
        <v>8</v>
      </c>
      <c r="C130" s="1" t="s">
        <v>3</v>
      </c>
      <c r="D130" s="1" t="s">
        <v>26</v>
      </c>
      <c r="F130" s="2">
        <v>30674483.566566106</v>
      </c>
    </row>
    <row r="131" spans="1:6" x14ac:dyDescent="0.3">
      <c r="A131" s="1">
        <v>2025</v>
      </c>
      <c r="B131" s="1">
        <v>8</v>
      </c>
      <c r="C131" s="1" t="s">
        <v>4</v>
      </c>
      <c r="D131" s="1" t="s">
        <v>25</v>
      </c>
      <c r="F131" s="2">
        <v>12082169.287135275</v>
      </c>
    </row>
    <row r="132" spans="1:6" x14ac:dyDescent="0.3">
      <c r="A132" s="1">
        <v>2025</v>
      </c>
      <c r="B132" s="1">
        <v>8</v>
      </c>
      <c r="C132" s="1" t="s">
        <v>4</v>
      </c>
      <c r="D132" s="1" t="s">
        <v>26</v>
      </c>
      <c r="F132" s="2">
        <v>21689749.590563599</v>
      </c>
    </row>
    <row r="133" spans="1:6" x14ac:dyDescent="0.3">
      <c r="A133" s="1">
        <v>2025</v>
      </c>
      <c r="B133" s="1">
        <v>9</v>
      </c>
      <c r="C133" s="1" t="s">
        <v>3</v>
      </c>
      <c r="D133" s="1" t="s">
        <v>25</v>
      </c>
      <c r="F133" s="2">
        <v>19801779.363067426</v>
      </c>
    </row>
    <row r="134" spans="1:6" x14ac:dyDescent="0.3">
      <c r="A134" s="1">
        <v>2025</v>
      </c>
      <c r="B134" s="1">
        <v>9</v>
      </c>
      <c r="C134" s="1" t="s">
        <v>3</v>
      </c>
      <c r="D134" s="1" t="s">
        <v>26</v>
      </c>
      <c r="F134" s="2">
        <v>31808075.262053523</v>
      </c>
    </row>
    <row r="135" spans="1:6" x14ac:dyDescent="0.3">
      <c r="A135" s="1">
        <v>2025</v>
      </c>
      <c r="B135" s="1">
        <v>9</v>
      </c>
      <c r="C135" s="1" t="s">
        <v>4</v>
      </c>
      <c r="D135" s="1" t="s">
        <v>25</v>
      </c>
      <c r="F135" s="2">
        <v>15083603.061447626</v>
      </c>
    </row>
    <row r="136" spans="1:6" x14ac:dyDescent="0.3">
      <c r="A136" s="1">
        <v>2025</v>
      </c>
      <c r="B136" s="1">
        <v>9</v>
      </c>
      <c r="C136" s="1" t="s">
        <v>4</v>
      </c>
      <c r="D136" s="1" t="s">
        <v>26</v>
      </c>
      <c r="F136" s="2">
        <v>24020832.468722995</v>
      </c>
    </row>
    <row r="137" spans="1:6" x14ac:dyDescent="0.3">
      <c r="A137" s="1">
        <v>2025</v>
      </c>
      <c r="B137" s="1">
        <v>10</v>
      </c>
      <c r="C137" s="1" t="s">
        <v>3</v>
      </c>
      <c r="D137" s="1" t="s">
        <v>25</v>
      </c>
      <c r="F137" s="2">
        <v>25996528.471594661</v>
      </c>
    </row>
    <row r="138" spans="1:6" x14ac:dyDescent="0.3">
      <c r="A138" s="1">
        <v>2025</v>
      </c>
      <c r="B138" s="1">
        <v>10</v>
      </c>
      <c r="C138" s="1" t="s">
        <v>3</v>
      </c>
      <c r="D138" s="1" t="s">
        <v>26</v>
      </c>
      <c r="F138" s="2">
        <v>32789801.162830435</v>
      </c>
    </row>
    <row r="139" spans="1:6" x14ac:dyDescent="0.3">
      <c r="A139" s="1">
        <v>2025</v>
      </c>
      <c r="B139" s="1">
        <v>10</v>
      </c>
      <c r="C139" s="1" t="s">
        <v>4</v>
      </c>
      <c r="D139" s="1" t="s">
        <v>25</v>
      </c>
      <c r="F139" s="2">
        <v>21798078.499254756</v>
      </c>
    </row>
    <row r="140" spans="1:6" x14ac:dyDescent="0.3">
      <c r="A140" s="1">
        <v>2025</v>
      </c>
      <c r="B140" s="1">
        <v>10</v>
      </c>
      <c r="C140" s="1" t="s">
        <v>4</v>
      </c>
      <c r="D140" s="1" t="s">
        <v>26</v>
      </c>
      <c r="F140" s="2">
        <v>25589902.521463569</v>
      </c>
    </row>
    <row r="141" spans="1:6" x14ac:dyDescent="0.3">
      <c r="A141" s="1">
        <v>2025</v>
      </c>
      <c r="B141" s="1">
        <v>11</v>
      </c>
      <c r="C141" s="1" t="s">
        <v>3</v>
      </c>
      <c r="D141" s="1" t="s">
        <v>25</v>
      </c>
      <c r="F141" s="2">
        <v>25624157.022569109</v>
      </c>
    </row>
    <row r="142" spans="1:6" x14ac:dyDescent="0.3">
      <c r="A142" s="1">
        <v>2025</v>
      </c>
      <c r="B142" s="1">
        <v>11</v>
      </c>
      <c r="C142" s="1" t="s">
        <v>3</v>
      </c>
      <c r="D142" s="1" t="s">
        <v>26</v>
      </c>
      <c r="F142" s="2">
        <v>25750374.68319748</v>
      </c>
    </row>
    <row r="143" spans="1:6" x14ac:dyDescent="0.3">
      <c r="A143" s="1">
        <v>2025</v>
      </c>
      <c r="B143" s="1">
        <v>11</v>
      </c>
      <c r="C143" s="1" t="s">
        <v>4</v>
      </c>
      <c r="D143" s="1" t="s">
        <v>25</v>
      </c>
      <c r="F143" s="2">
        <v>8105182.9268292682</v>
      </c>
    </row>
    <row r="144" spans="1:6" x14ac:dyDescent="0.3">
      <c r="A144" s="1">
        <v>2025</v>
      </c>
      <c r="B144" s="1">
        <v>11</v>
      </c>
      <c r="C144" s="1" t="s">
        <v>4</v>
      </c>
      <c r="D144" s="1" t="s">
        <v>26</v>
      </c>
      <c r="F144" s="2">
        <v>42985090.802085087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F5403-7F62-424C-AA70-BFFB209A9F27}">
  <dimension ref="A1:I216"/>
  <sheetViews>
    <sheetView workbookViewId="0">
      <pane ySplit="6" topLeftCell="A60" activePane="bottomLeft" state="frozen"/>
      <selection pane="bottomLeft" activeCell="I7" sqref="I7:I98"/>
    </sheetView>
  </sheetViews>
  <sheetFormatPr defaultRowHeight="12" x14ac:dyDescent="0.3"/>
  <cols>
    <col min="1" max="1" width="15.36328125" style="1" customWidth="1"/>
    <col min="2" max="3" width="7.453125" style="1" customWidth="1"/>
    <col min="4" max="7" width="12.26953125" style="2" customWidth="1"/>
    <col min="8" max="8" width="14.54296875" style="2" customWidth="1"/>
    <col min="9" max="9" width="14.1796875" style="2" customWidth="1"/>
    <col min="10" max="10" width="10.08984375" style="1" customWidth="1"/>
    <col min="11" max="11" width="11.54296875" style="1" bestFit="1" customWidth="1"/>
    <col min="12" max="16384" width="8.7265625" style="1"/>
  </cols>
  <sheetData>
    <row r="1" spans="1:9" x14ac:dyDescent="0.3">
      <c r="A1" s="1" t="s">
        <v>7</v>
      </c>
    </row>
    <row r="6" spans="1:9" s="4" customFormat="1" x14ac:dyDescent="0.3">
      <c r="A6" s="4" t="s">
        <v>0</v>
      </c>
      <c r="B6" s="4" t="s">
        <v>1</v>
      </c>
      <c r="C6" s="4" t="s">
        <v>24</v>
      </c>
      <c r="D6" s="6" t="s">
        <v>2</v>
      </c>
      <c r="E6" s="4" t="s">
        <v>10</v>
      </c>
      <c r="F6" s="4" t="s">
        <v>9</v>
      </c>
      <c r="G6" s="6" t="s">
        <v>14</v>
      </c>
      <c r="H6" s="6" t="s">
        <v>15</v>
      </c>
      <c r="I6" s="6" t="s">
        <v>18</v>
      </c>
    </row>
    <row r="7" spans="1:9" x14ac:dyDescent="0.3">
      <c r="A7" s="11">
        <v>45322</v>
      </c>
      <c r="B7" s="7" t="s">
        <v>3</v>
      </c>
      <c r="C7" s="7" t="s">
        <v>25</v>
      </c>
      <c r="D7" s="8">
        <v>20351216.440000001</v>
      </c>
      <c r="E7" s="1">
        <f>YEAR(A7)</f>
        <v>2024</v>
      </c>
      <c r="F7" s="1">
        <f>MONTH(A7)</f>
        <v>1</v>
      </c>
      <c r="G7" s="1">
        <f t="shared" ref="G7:G38" si="0">(YEAR(close_date)-YEAR(A7))*12+MONTH(close_date)-MONTH(A7)</f>
        <v>22</v>
      </c>
      <c r="H7" s="13">
        <f>VLOOKUP(B7&amp;C7&amp;G7,cf!D:E,2,FALSE)</f>
        <v>1</v>
      </c>
      <c r="I7" s="2">
        <f>D7/H7</f>
        <v>20351216.440000001</v>
      </c>
    </row>
    <row r="8" spans="1:9" x14ac:dyDescent="0.3">
      <c r="A8" s="11">
        <v>45322</v>
      </c>
      <c r="B8" s="7" t="s">
        <v>3</v>
      </c>
      <c r="C8" s="7" t="s">
        <v>26</v>
      </c>
      <c r="D8" s="8">
        <v>30526824.66</v>
      </c>
      <c r="E8" s="1">
        <f t="shared" ref="E8:E52" si="1">YEAR(A8)</f>
        <v>2024</v>
      </c>
      <c r="F8" s="1">
        <f t="shared" ref="F8:F52" si="2">MONTH(A8)</f>
        <v>1</v>
      </c>
      <c r="G8" s="1">
        <f t="shared" si="0"/>
        <v>22</v>
      </c>
      <c r="H8" s="13">
        <f>VLOOKUP(B8&amp;C8&amp;G8,cf!D:E,2,FALSE)</f>
        <v>1</v>
      </c>
      <c r="I8" s="2">
        <f t="shared" ref="I8:I52" si="3">D8/H8</f>
        <v>30526824.66</v>
      </c>
    </row>
    <row r="9" spans="1:9" x14ac:dyDescent="0.3">
      <c r="A9" s="11">
        <v>45322</v>
      </c>
      <c r="B9" s="7" t="s">
        <v>4</v>
      </c>
      <c r="C9" s="7" t="s">
        <v>25</v>
      </c>
      <c r="D9" s="8">
        <v>14557014.390000001</v>
      </c>
      <c r="E9" s="1">
        <f t="shared" si="1"/>
        <v>2024</v>
      </c>
      <c r="F9" s="1">
        <f t="shared" si="2"/>
        <v>1</v>
      </c>
      <c r="G9" s="1">
        <f t="shared" si="0"/>
        <v>22</v>
      </c>
      <c r="H9" s="13">
        <f>VLOOKUP(B9&amp;C9&amp;G9,cf!D:E,2,FALSE)</f>
        <v>1</v>
      </c>
      <c r="I9" s="2">
        <f t="shared" si="3"/>
        <v>14557014.390000001</v>
      </c>
    </row>
    <row r="10" spans="1:9" x14ac:dyDescent="0.3">
      <c r="A10" s="11">
        <v>45322</v>
      </c>
      <c r="B10" s="7" t="s">
        <v>4</v>
      </c>
      <c r="C10" s="7" t="s">
        <v>26</v>
      </c>
      <c r="D10" s="8">
        <v>21835521.59</v>
      </c>
      <c r="E10" s="1">
        <f t="shared" si="1"/>
        <v>2024</v>
      </c>
      <c r="F10" s="1">
        <f t="shared" si="2"/>
        <v>1</v>
      </c>
      <c r="G10" s="1">
        <f t="shared" si="0"/>
        <v>22</v>
      </c>
      <c r="H10" s="13">
        <f>VLOOKUP(B10&amp;C10&amp;G10,cf!D:E,2,FALSE)</f>
        <v>1</v>
      </c>
      <c r="I10" s="2">
        <f t="shared" si="3"/>
        <v>21835521.59</v>
      </c>
    </row>
    <row r="11" spans="1:9" x14ac:dyDescent="0.3">
      <c r="A11" s="11">
        <v>45351</v>
      </c>
      <c r="B11" s="7" t="s">
        <v>3</v>
      </c>
      <c r="C11" s="7" t="s">
        <v>25</v>
      </c>
      <c r="D11" s="8">
        <v>20212088.079999998</v>
      </c>
      <c r="E11" s="1">
        <f t="shared" si="1"/>
        <v>2024</v>
      </c>
      <c r="F11" s="1">
        <f t="shared" si="2"/>
        <v>2</v>
      </c>
      <c r="G11" s="1">
        <f t="shared" si="0"/>
        <v>21</v>
      </c>
      <c r="H11" s="13">
        <f>VLOOKUP(B11&amp;C11&amp;G11,cf!D:E,2,FALSE)</f>
        <v>1</v>
      </c>
      <c r="I11" s="2">
        <f t="shared" si="3"/>
        <v>20212088.079999998</v>
      </c>
    </row>
    <row r="12" spans="1:9" x14ac:dyDescent="0.3">
      <c r="A12" s="11">
        <v>45351</v>
      </c>
      <c r="B12" s="7" t="s">
        <v>3</v>
      </c>
      <c r="C12" s="7" t="s">
        <v>26</v>
      </c>
      <c r="D12" s="8">
        <v>30318132.120000001</v>
      </c>
      <c r="E12" s="1">
        <f t="shared" si="1"/>
        <v>2024</v>
      </c>
      <c r="F12" s="1">
        <f t="shared" si="2"/>
        <v>2</v>
      </c>
      <c r="G12" s="1">
        <f t="shared" si="0"/>
        <v>21</v>
      </c>
      <c r="H12" s="13">
        <f>VLOOKUP(B12&amp;C12&amp;G12,cf!D:E,2,FALSE)</f>
        <v>1</v>
      </c>
      <c r="I12" s="2">
        <f t="shared" si="3"/>
        <v>30318132.120000001</v>
      </c>
    </row>
    <row r="13" spans="1:9" x14ac:dyDescent="0.3">
      <c r="A13" s="11">
        <v>45351</v>
      </c>
      <c r="B13" s="7" t="s">
        <v>4</v>
      </c>
      <c r="C13" s="7" t="s">
        <v>25</v>
      </c>
      <c r="D13" s="8">
        <v>14458063.189999999</v>
      </c>
      <c r="E13" s="1">
        <f t="shared" si="1"/>
        <v>2024</v>
      </c>
      <c r="F13" s="1">
        <f t="shared" si="2"/>
        <v>2</v>
      </c>
      <c r="G13" s="1">
        <f t="shared" si="0"/>
        <v>21</v>
      </c>
      <c r="H13" s="13">
        <f>VLOOKUP(B13&amp;C13&amp;G13,cf!D:E,2,FALSE)</f>
        <v>1</v>
      </c>
      <c r="I13" s="2">
        <f t="shared" si="3"/>
        <v>14458063.189999999</v>
      </c>
    </row>
    <row r="14" spans="1:9" x14ac:dyDescent="0.3">
      <c r="A14" s="11">
        <v>45351</v>
      </c>
      <c r="B14" s="7" t="s">
        <v>4</v>
      </c>
      <c r="C14" s="7" t="s">
        <v>26</v>
      </c>
      <c r="D14" s="8">
        <v>21687094.789999999</v>
      </c>
      <c r="E14" s="1">
        <f t="shared" si="1"/>
        <v>2024</v>
      </c>
      <c r="F14" s="1">
        <f t="shared" si="2"/>
        <v>2</v>
      </c>
      <c r="G14" s="1">
        <f t="shared" si="0"/>
        <v>21</v>
      </c>
      <c r="H14" s="13">
        <f>VLOOKUP(B14&amp;C14&amp;G14,cf!D:E,2,FALSE)</f>
        <v>1</v>
      </c>
      <c r="I14" s="2">
        <f t="shared" si="3"/>
        <v>21687094.789999999</v>
      </c>
    </row>
    <row r="15" spans="1:9" x14ac:dyDescent="0.3">
      <c r="A15" s="11">
        <v>45382</v>
      </c>
      <c r="B15" s="7" t="s">
        <v>3</v>
      </c>
      <c r="C15" s="7" t="s">
        <v>25</v>
      </c>
      <c r="D15" s="8">
        <v>20133312.699999999</v>
      </c>
      <c r="E15" s="1">
        <f t="shared" si="1"/>
        <v>2024</v>
      </c>
      <c r="F15" s="1">
        <f t="shared" si="2"/>
        <v>3</v>
      </c>
      <c r="G15" s="1">
        <f t="shared" si="0"/>
        <v>20</v>
      </c>
      <c r="H15" s="13">
        <f>VLOOKUP(B15&amp;C15&amp;G15,cf!D:E,2,FALSE)</f>
        <v>1</v>
      </c>
      <c r="I15" s="2">
        <f t="shared" si="3"/>
        <v>20133312.699999999</v>
      </c>
    </row>
    <row r="16" spans="1:9" x14ac:dyDescent="0.3">
      <c r="A16" s="11">
        <v>45382</v>
      </c>
      <c r="B16" s="7" t="s">
        <v>3</v>
      </c>
      <c r="C16" s="7" t="s">
        <v>26</v>
      </c>
      <c r="D16" s="8">
        <v>30199969.050000001</v>
      </c>
      <c r="E16" s="1">
        <f t="shared" si="1"/>
        <v>2024</v>
      </c>
      <c r="F16" s="1">
        <f t="shared" si="2"/>
        <v>3</v>
      </c>
      <c r="G16" s="1">
        <f t="shared" si="0"/>
        <v>20</v>
      </c>
      <c r="H16" s="13">
        <f>VLOOKUP(B16&amp;C16&amp;G16,cf!D:E,2,FALSE)</f>
        <v>1</v>
      </c>
      <c r="I16" s="2">
        <f t="shared" si="3"/>
        <v>30199969.050000001</v>
      </c>
    </row>
    <row r="17" spans="1:9" x14ac:dyDescent="0.3">
      <c r="A17" s="11">
        <v>45382</v>
      </c>
      <c r="B17" s="7" t="s">
        <v>4</v>
      </c>
      <c r="C17" s="7" t="s">
        <v>25</v>
      </c>
      <c r="D17" s="8">
        <v>14401327.859999999</v>
      </c>
      <c r="E17" s="1">
        <f t="shared" si="1"/>
        <v>2024</v>
      </c>
      <c r="F17" s="1">
        <f t="shared" si="2"/>
        <v>3</v>
      </c>
      <c r="G17" s="1">
        <f t="shared" si="0"/>
        <v>20</v>
      </c>
      <c r="H17" s="13">
        <f>VLOOKUP(B17&amp;C17&amp;G17,cf!D:E,2,FALSE)</f>
        <v>1</v>
      </c>
      <c r="I17" s="2">
        <f t="shared" si="3"/>
        <v>14401327.859999999</v>
      </c>
    </row>
    <row r="18" spans="1:9" x14ac:dyDescent="0.3">
      <c r="A18" s="11">
        <v>45382</v>
      </c>
      <c r="B18" s="7" t="s">
        <v>4</v>
      </c>
      <c r="C18" s="7" t="s">
        <v>26</v>
      </c>
      <c r="D18" s="8">
        <v>21601991.789999999</v>
      </c>
      <c r="E18" s="1">
        <f t="shared" si="1"/>
        <v>2024</v>
      </c>
      <c r="F18" s="1">
        <f t="shared" si="2"/>
        <v>3</v>
      </c>
      <c r="G18" s="1">
        <f t="shared" si="0"/>
        <v>20</v>
      </c>
      <c r="H18" s="13">
        <f>VLOOKUP(B18&amp;C18&amp;G18,cf!D:E,2,FALSE)</f>
        <v>1</v>
      </c>
      <c r="I18" s="2">
        <f t="shared" si="3"/>
        <v>21601991.789999999</v>
      </c>
    </row>
    <row r="19" spans="1:9" x14ac:dyDescent="0.3">
      <c r="A19" s="11">
        <v>45412</v>
      </c>
      <c r="B19" s="7" t="s">
        <v>3</v>
      </c>
      <c r="C19" s="7" t="s">
        <v>25</v>
      </c>
      <c r="D19" s="8">
        <v>19195392.530000001</v>
      </c>
      <c r="E19" s="1">
        <f t="shared" si="1"/>
        <v>2024</v>
      </c>
      <c r="F19" s="1">
        <f t="shared" si="2"/>
        <v>4</v>
      </c>
      <c r="G19" s="1">
        <f t="shared" si="0"/>
        <v>19</v>
      </c>
      <c r="H19" s="13">
        <f>VLOOKUP(B19&amp;C19&amp;G19,cf!D:E,2,FALSE)</f>
        <v>1</v>
      </c>
      <c r="I19" s="2">
        <f t="shared" si="3"/>
        <v>19195392.530000001</v>
      </c>
    </row>
    <row r="20" spans="1:9" x14ac:dyDescent="0.3">
      <c r="A20" s="11">
        <v>45412</v>
      </c>
      <c r="B20" s="7" t="s">
        <v>3</v>
      </c>
      <c r="C20" s="7" t="s">
        <v>26</v>
      </c>
      <c r="D20" s="8">
        <v>28793088.800000001</v>
      </c>
      <c r="E20" s="1">
        <f t="shared" si="1"/>
        <v>2024</v>
      </c>
      <c r="F20" s="1">
        <f t="shared" si="2"/>
        <v>4</v>
      </c>
      <c r="G20" s="1">
        <f t="shared" si="0"/>
        <v>19</v>
      </c>
      <c r="H20" s="13">
        <f>VLOOKUP(B20&amp;C20&amp;G20,cf!D:E,2,FALSE)</f>
        <v>1</v>
      </c>
      <c r="I20" s="2">
        <f t="shared" si="3"/>
        <v>28793088.800000001</v>
      </c>
    </row>
    <row r="21" spans="1:9" x14ac:dyDescent="0.3">
      <c r="A21" s="11">
        <v>45412</v>
      </c>
      <c r="B21" s="7" t="s">
        <v>4</v>
      </c>
      <c r="C21" s="7" t="s">
        <v>25</v>
      </c>
      <c r="D21" s="8">
        <v>13730405</v>
      </c>
      <c r="E21" s="1">
        <f t="shared" si="1"/>
        <v>2024</v>
      </c>
      <c r="F21" s="1">
        <f t="shared" si="2"/>
        <v>4</v>
      </c>
      <c r="G21" s="1">
        <f t="shared" si="0"/>
        <v>19</v>
      </c>
      <c r="H21" s="13">
        <f>VLOOKUP(B21&amp;C21&amp;G21,cf!D:E,2,FALSE)</f>
        <v>1</v>
      </c>
      <c r="I21" s="2">
        <f t="shared" si="3"/>
        <v>13730405</v>
      </c>
    </row>
    <row r="22" spans="1:9" x14ac:dyDescent="0.3">
      <c r="A22" s="11">
        <v>45412</v>
      </c>
      <c r="B22" s="7" t="s">
        <v>4</v>
      </c>
      <c r="C22" s="7" t="s">
        <v>26</v>
      </c>
      <c r="D22" s="8">
        <v>20595607.489999998</v>
      </c>
      <c r="E22" s="1">
        <f t="shared" si="1"/>
        <v>2024</v>
      </c>
      <c r="F22" s="1">
        <f t="shared" si="2"/>
        <v>4</v>
      </c>
      <c r="G22" s="1">
        <f t="shared" si="0"/>
        <v>19</v>
      </c>
      <c r="H22" s="13">
        <f>VLOOKUP(B22&amp;C22&amp;G22,cf!D:E,2,FALSE)</f>
        <v>1</v>
      </c>
      <c r="I22" s="2">
        <f t="shared" si="3"/>
        <v>20595607.489999998</v>
      </c>
    </row>
    <row r="23" spans="1:9" x14ac:dyDescent="0.3">
      <c r="A23" s="11">
        <v>45443</v>
      </c>
      <c r="B23" s="7" t="s">
        <v>3</v>
      </c>
      <c r="C23" s="7" t="s">
        <v>25</v>
      </c>
      <c r="D23" s="8">
        <v>19218796.010000002</v>
      </c>
      <c r="E23" s="1">
        <f t="shared" si="1"/>
        <v>2024</v>
      </c>
      <c r="F23" s="1">
        <f t="shared" si="2"/>
        <v>5</v>
      </c>
      <c r="G23" s="1">
        <f t="shared" si="0"/>
        <v>18</v>
      </c>
      <c r="H23" s="13">
        <f>VLOOKUP(B23&amp;C23&amp;G23,cf!D:E,2,FALSE)</f>
        <v>1</v>
      </c>
      <c r="I23" s="2">
        <f t="shared" si="3"/>
        <v>19218796.010000002</v>
      </c>
    </row>
    <row r="24" spans="1:9" x14ac:dyDescent="0.3">
      <c r="A24" s="11">
        <v>45443</v>
      </c>
      <c r="B24" s="7" t="s">
        <v>3</v>
      </c>
      <c r="C24" s="7" t="s">
        <v>26</v>
      </c>
      <c r="D24" s="8">
        <v>28828194.010000002</v>
      </c>
      <c r="E24" s="1">
        <f t="shared" si="1"/>
        <v>2024</v>
      </c>
      <c r="F24" s="1">
        <f t="shared" si="2"/>
        <v>5</v>
      </c>
      <c r="G24" s="1">
        <f t="shared" si="0"/>
        <v>18</v>
      </c>
      <c r="H24" s="13">
        <f>VLOOKUP(B24&amp;C24&amp;G24,cf!D:E,2,FALSE)</f>
        <v>1</v>
      </c>
      <c r="I24" s="2">
        <f t="shared" si="3"/>
        <v>28828194.010000002</v>
      </c>
    </row>
    <row r="25" spans="1:9" x14ac:dyDescent="0.3">
      <c r="A25" s="11">
        <v>45443</v>
      </c>
      <c r="B25" s="7" t="s">
        <v>4</v>
      </c>
      <c r="C25" s="7" t="s">
        <v>25</v>
      </c>
      <c r="D25" s="8">
        <v>13747495.9</v>
      </c>
      <c r="E25" s="1">
        <f t="shared" si="1"/>
        <v>2024</v>
      </c>
      <c r="F25" s="1">
        <f t="shared" si="2"/>
        <v>5</v>
      </c>
      <c r="G25" s="1">
        <f t="shared" si="0"/>
        <v>18</v>
      </c>
      <c r="H25" s="13">
        <f>VLOOKUP(B25&amp;C25&amp;G25,cf!D:E,2,FALSE)</f>
        <v>1</v>
      </c>
      <c r="I25" s="2">
        <f t="shared" si="3"/>
        <v>13747495.9</v>
      </c>
    </row>
    <row r="26" spans="1:9" x14ac:dyDescent="0.3">
      <c r="A26" s="11">
        <v>45443</v>
      </c>
      <c r="B26" s="7" t="s">
        <v>4</v>
      </c>
      <c r="C26" s="7" t="s">
        <v>26</v>
      </c>
      <c r="D26" s="8">
        <v>20621243.850000001</v>
      </c>
      <c r="E26" s="1">
        <f t="shared" si="1"/>
        <v>2024</v>
      </c>
      <c r="F26" s="1">
        <f t="shared" si="2"/>
        <v>5</v>
      </c>
      <c r="G26" s="1">
        <f t="shared" si="0"/>
        <v>18</v>
      </c>
      <c r="H26" s="13">
        <f>VLOOKUP(B26&amp;C26&amp;G26,cf!D:E,2,FALSE)</f>
        <v>1</v>
      </c>
      <c r="I26" s="2">
        <f t="shared" si="3"/>
        <v>20621243.850000001</v>
      </c>
    </row>
    <row r="27" spans="1:9" x14ac:dyDescent="0.3">
      <c r="A27" s="11">
        <v>45473</v>
      </c>
      <c r="B27" s="7" t="s">
        <v>3</v>
      </c>
      <c r="C27" s="7" t="s">
        <v>25</v>
      </c>
      <c r="D27" s="8">
        <v>18616341.899999999</v>
      </c>
      <c r="E27" s="1">
        <f t="shared" si="1"/>
        <v>2024</v>
      </c>
      <c r="F27" s="1">
        <f t="shared" si="2"/>
        <v>6</v>
      </c>
      <c r="G27" s="1">
        <f t="shared" si="0"/>
        <v>17</v>
      </c>
      <c r="H27" s="13">
        <f>VLOOKUP(B27&amp;C27&amp;G27,cf!D:E,2,FALSE)</f>
        <v>1</v>
      </c>
      <c r="I27" s="2">
        <f t="shared" si="3"/>
        <v>18616341.899999999</v>
      </c>
    </row>
    <row r="28" spans="1:9" x14ac:dyDescent="0.3">
      <c r="A28" s="11">
        <v>45473</v>
      </c>
      <c r="B28" s="7" t="s">
        <v>3</v>
      </c>
      <c r="C28" s="7" t="s">
        <v>26</v>
      </c>
      <c r="D28" s="8">
        <v>27924512.84</v>
      </c>
      <c r="E28" s="1">
        <f t="shared" si="1"/>
        <v>2024</v>
      </c>
      <c r="F28" s="1">
        <f t="shared" si="2"/>
        <v>6</v>
      </c>
      <c r="G28" s="1">
        <f t="shared" si="0"/>
        <v>17</v>
      </c>
      <c r="H28" s="13">
        <f>VLOOKUP(B28&amp;C28&amp;G28,cf!D:E,2,FALSE)</f>
        <v>1</v>
      </c>
      <c r="I28" s="2">
        <f t="shared" si="3"/>
        <v>27924512.84</v>
      </c>
    </row>
    <row r="29" spans="1:9" x14ac:dyDescent="0.3">
      <c r="A29" s="11">
        <v>45473</v>
      </c>
      <c r="B29" s="7" t="s">
        <v>4</v>
      </c>
      <c r="C29" s="7" t="s">
        <v>25</v>
      </c>
      <c r="D29" s="8">
        <v>13316305.869999999</v>
      </c>
      <c r="E29" s="1">
        <f t="shared" si="1"/>
        <v>2024</v>
      </c>
      <c r="F29" s="1">
        <f t="shared" si="2"/>
        <v>6</v>
      </c>
      <c r="G29" s="1">
        <f t="shared" si="0"/>
        <v>17</v>
      </c>
      <c r="H29" s="13">
        <f>VLOOKUP(B29&amp;C29&amp;G29,cf!D:E,2,FALSE)</f>
        <v>1</v>
      </c>
      <c r="I29" s="2">
        <f t="shared" si="3"/>
        <v>13316305.869999999</v>
      </c>
    </row>
    <row r="30" spans="1:9" x14ac:dyDescent="0.3">
      <c r="A30" s="11">
        <v>45473</v>
      </c>
      <c r="B30" s="7" t="s">
        <v>4</v>
      </c>
      <c r="C30" s="7" t="s">
        <v>26</v>
      </c>
      <c r="D30" s="8">
        <v>19974458.809999999</v>
      </c>
      <c r="E30" s="1">
        <f t="shared" si="1"/>
        <v>2024</v>
      </c>
      <c r="F30" s="1">
        <f t="shared" si="2"/>
        <v>6</v>
      </c>
      <c r="G30" s="1">
        <f t="shared" si="0"/>
        <v>17</v>
      </c>
      <c r="H30" s="13">
        <f>VLOOKUP(B30&amp;C30&amp;G30,cf!D:E,2,FALSE)</f>
        <v>1</v>
      </c>
      <c r="I30" s="2">
        <f t="shared" si="3"/>
        <v>19974458.809999999</v>
      </c>
    </row>
    <row r="31" spans="1:9" x14ac:dyDescent="0.3">
      <c r="A31" s="11">
        <v>45504</v>
      </c>
      <c r="B31" s="7" t="s">
        <v>3</v>
      </c>
      <c r="C31" s="7" t="s">
        <v>25</v>
      </c>
      <c r="D31" s="8">
        <v>18355519.350000001</v>
      </c>
      <c r="E31" s="1">
        <f t="shared" si="1"/>
        <v>2024</v>
      </c>
      <c r="F31" s="1">
        <f t="shared" si="2"/>
        <v>7</v>
      </c>
      <c r="G31" s="1">
        <f t="shared" si="0"/>
        <v>16</v>
      </c>
      <c r="H31" s="13">
        <f>VLOOKUP(B31&amp;C31&amp;G31,cf!D:E,2,FALSE)</f>
        <v>1</v>
      </c>
      <c r="I31" s="2">
        <f t="shared" si="3"/>
        <v>18355519.350000001</v>
      </c>
    </row>
    <row r="32" spans="1:9" x14ac:dyDescent="0.3">
      <c r="A32" s="11">
        <v>45504</v>
      </c>
      <c r="B32" s="7" t="s">
        <v>3</v>
      </c>
      <c r="C32" s="7" t="s">
        <v>26</v>
      </c>
      <c r="D32" s="8">
        <v>27533279.030000001</v>
      </c>
      <c r="E32" s="1">
        <f t="shared" si="1"/>
        <v>2024</v>
      </c>
      <c r="F32" s="1">
        <f t="shared" si="2"/>
        <v>7</v>
      </c>
      <c r="G32" s="1">
        <f t="shared" si="0"/>
        <v>16</v>
      </c>
      <c r="H32" s="13">
        <f>VLOOKUP(B32&amp;C32&amp;G32,cf!D:E,2,FALSE)</f>
        <v>1</v>
      </c>
      <c r="I32" s="2">
        <f t="shared" si="3"/>
        <v>27533279.030000001</v>
      </c>
    </row>
    <row r="33" spans="1:9" x14ac:dyDescent="0.3">
      <c r="A33" s="11">
        <v>45504</v>
      </c>
      <c r="B33" s="7" t="s">
        <v>4</v>
      </c>
      <c r="C33" s="7" t="s">
        <v>25</v>
      </c>
      <c r="D33" s="8">
        <v>13129939.76</v>
      </c>
      <c r="E33" s="1">
        <f t="shared" si="1"/>
        <v>2024</v>
      </c>
      <c r="F33" s="1">
        <f t="shared" si="2"/>
        <v>7</v>
      </c>
      <c r="G33" s="1">
        <f t="shared" si="0"/>
        <v>16</v>
      </c>
      <c r="H33" s="13">
        <f>VLOOKUP(B33&amp;C33&amp;G33,cf!D:E,2,FALSE)</f>
        <v>1</v>
      </c>
      <c r="I33" s="2">
        <f t="shared" si="3"/>
        <v>13129939.76</v>
      </c>
    </row>
    <row r="34" spans="1:9" x14ac:dyDescent="0.3">
      <c r="A34" s="11">
        <v>45504</v>
      </c>
      <c r="B34" s="7" t="s">
        <v>4</v>
      </c>
      <c r="C34" s="7" t="s">
        <v>26</v>
      </c>
      <c r="D34" s="8">
        <v>19694909.640000001</v>
      </c>
      <c r="E34" s="1">
        <f t="shared" si="1"/>
        <v>2024</v>
      </c>
      <c r="F34" s="1">
        <f t="shared" si="2"/>
        <v>7</v>
      </c>
      <c r="G34" s="1">
        <f t="shared" si="0"/>
        <v>16</v>
      </c>
      <c r="H34" s="13">
        <f>VLOOKUP(B34&amp;C34&amp;G34,cf!D:E,2,FALSE)</f>
        <v>1</v>
      </c>
      <c r="I34" s="2">
        <f t="shared" si="3"/>
        <v>19694909.640000001</v>
      </c>
    </row>
    <row r="35" spans="1:9" x14ac:dyDescent="0.3">
      <c r="A35" s="11">
        <v>45535</v>
      </c>
      <c r="B35" s="7" t="s">
        <v>3</v>
      </c>
      <c r="C35" s="7" t="s">
        <v>25</v>
      </c>
      <c r="D35" s="8">
        <v>18184415.149999999</v>
      </c>
      <c r="E35" s="1">
        <f t="shared" si="1"/>
        <v>2024</v>
      </c>
      <c r="F35" s="1">
        <f t="shared" si="2"/>
        <v>8</v>
      </c>
      <c r="G35" s="1">
        <f t="shared" si="0"/>
        <v>15</v>
      </c>
      <c r="H35" s="13">
        <f>VLOOKUP(B35&amp;C35&amp;G35,cf!D:E,2,FALSE)</f>
        <v>1</v>
      </c>
      <c r="I35" s="2">
        <f t="shared" si="3"/>
        <v>18184415.149999999</v>
      </c>
    </row>
    <row r="36" spans="1:9" x14ac:dyDescent="0.3">
      <c r="A36" s="11">
        <v>45535</v>
      </c>
      <c r="B36" s="7" t="s">
        <v>3</v>
      </c>
      <c r="C36" s="7" t="s">
        <v>26</v>
      </c>
      <c r="D36" s="8">
        <v>27276622.73</v>
      </c>
      <c r="E36" s="1">
        <f t="shared" si="1"/>
        <v>2024</v>
      </c>
      <c r="F36" s="1">
        <f t="shared" si="2"/>
        <v>8</v>
      </c>
      <c r="G36" s="1">
        <f t="shared" si="0"/>
        <v>15</v>
      </c>
      <c r="H36" s="13">
        <f>VLOOKUP(B36&amp;C36&amp;G36,cf!D:E,2,FALSE)</f>
        <v>1</v>
      </c>
      <c r="I36" s="2">
        <f t="shared" si="3"/>
        <v>27276622.73</v>
      </c>
    </row>
    <row r="37" spans="1:9" x14ac:dyDescent="0.3">
      <c r="A37" s="11">
        <v>45535</v>
      </c>
      <c r="B37" s="7" t="s">
        <v>4</v>
      </c>
      <c r="C37" s="7" t="s">
        <v>25</v>
      </c>
      <c r="D37" s="8">
        <v>13007637.52</v>
      </c>
      <c r="E37" s="1">
        <f t="shared" si="1"/>
        <v>2024</v>
      </c>
      <c r="F37" s="1">
        <f t="shared" si="2"/>
        <v>8</v>
      </c>
      <c r="G37" s="1">
        <f t="shared" si="0"/>
        <v>15</v>
      </c>
      <c r="H37" s="13">
        <f>VLOOKUP(B37&amp;C37&amp;G37,cf!D:E,2,FALSE)</f>
        <v>1</v>
      </c>
      <c r="I37" s="2">
        <f t="shared" si="3"/>
        <v>13007637.52</v>
      </c>
    </row>
    <row r="38" spans="1:9" x14ac:dyDescent="0.3">
      <c r="A38" s="11">
        <v>45535</v>
      </c>
      <c r="B38" s="7" t="s">
        <v>4</v>
      </c>
      <c r="C38" s="7" t="s">
        <v>26</v>
      </c>
      <c r="D38" s="8">
        <v>19511456.280000001</v>
      </c>
      <c r="E38" s="1">
        <f t="shared" si="1"/>
        <v>2024</v>
      </c>
      <c r="F38" s="1">
        <f t="shared" si="2"/>
        <v>8</v>
      </c>
      <c r="G38" s="1">
        <f t="shared" si="0"/>
        <v>15</v>
      </c>
      <c r="H38" s="13">
        <f>VLOOKUP(B38&amp;C38&amp;G38,cf!D:E,2,FALSE)</f>
        <v>1</v>
      </c>
      <c r="I38" s="2">
        <f t="shared" si="3"/>
        <v>19511456.280000001</v>
      </c>
    </row>
    <row r="39" spans="1:9" x14ac:dyDescent="0.3">
      <c r="A39" s="11">
        <v>45565</v>
      </c>
      <c r="B39" s="7" t="s">
        <v>3</v>
      </c>
      <c r="C39" s="7" t="s">
        <v>25</v>
      </c>
      <c r="D39" s="8">
        <v>19367729.43</v>
      </c>
      <c r="E39" s="1">
        <f t="shared" si="1"/>
        <v>2024</v>
      </c>
      <c r="F39" s="1">
        <f t="shared" si="2"/>
        <v>9</v>
      </c>
      <c r="G39" s="1">
        <f t="shared" ref="G39:G70" si="4">(YEAR(close_date)-YEAR(A39))*12+MONTH(close_date)-MONTH(A39)</f>
        <v>14</v>
      </c>
      <c r="H39" s="13">
        <f>VLOOKUP(B39&amp;C39&amp;G39,cf!D:E,2,FALSE)</f>
        <v>1</v>
      </c>
      <c r="I39" s="2">
        <f t="shared" si="3"/>
        <v>19367729.43</v>
      </c>
    </row>
    <row r="40" spans="1:9" x14ac:dyDescent="0.3">
      <c r="A40" s="11">
        <v>45565</v>
      </c>
      <c r="B40" s="7" t="s">
        <v>3</v>
      </c>
      <c r="C40" s="7" t="s">
        <v>26</v>
      </c>
      <c r="D40" s="8">
        <v>29051594.140000001</v>
      </c>
      <c r="E40" s="1">
        <f t="shared" si="1"/>
        <v>2024</v>
      </c>
      <c r="F40" s="1">
        <f t="shared" si="2"/>
        <v>9</v>
      </c>
      <c r="G40" s="1">
        <f t="shared" si="4"/>
        <v>14</v>
      </c>
      <c r="H40" s="13">
        <f>VLOOKUP(B40&amp;C40&amp;G40,cf!D:E,2,FALSE)</f>
        <v>1</v>
      </c>
      <c r="I40" s="2">
        <f t="shared" si="3"/>
        <v>29051594.140000001</v>
      </c>
    </row>
    <row r="41" spans="1:9" x14ac:dyDescent="0.3">
      <c r="A41" s="11">
        <v>45565</v>
      </c>
      <c r="B41" s="7" t="s">
        <v>4</v>
      </c>
      <c r="C41" s="7" t="s">
        <v>25</v>
      </c>
      <c r="D41" s="8">
        <v>13853877.609999999</v>
      </c>
      <c r="E41" s="1">
        <f t="shared" si="1"/>
        <v>2024</v>
      </c>
      <c r="F41" s="1">
        <f t="shared" si="2"/>
        <v>9</v>
      </c>
      <c r="G41" s="1">
        <f t="shared" si="4"/>
        <v>14</v>
      </c>
      <c r="H41" s="13">
        <f>VLOOKUP(B41&amp;C41&amp;G41,cf!D:E,2,FALSE)</f>
        <v>1</v>
      </c>
      <c r="I41" s="2">
        <f t="shared" si="3"/>
        <v>13853877.609999999</v>
      </c>
    </row>
    <row r="42" spans="1:9" x14ac:dyDescent="0.3">
      <c r="A42" s="11">
        <v>45565</v>
      </c>
      <c r="B42" s="7" t="s">
        <v>4</v>
      </c>
      <c r="C42" s="7" t="s">
        <v>26</v>
      </c>
      <c r="D42" s="8">
        <v>20780816.420000002</v>
      </c>
      <c r="E42" s="1">
        <f t="shared" si="1"/>
        <v>2024</v>
      </c>
      <c r="F42" s="1">
        <f t="shared" si="2"/>
        <v>9</v>
      </c>
      <c r="G42" s="1">
        <f t="shared" si="4"/>
        <v>14</v>
      </c>
      <c r="H42" s="13">
        <f>VLOOKUP(B42&amp;C42&amp;G42,cf!D:E,2,FALSE)</f>
        <v>1</v>
      </c>
      <c r="I42" s="2">
        <f t="shared" si="3"/>
        <v>20780816.420000002</v>
      </c>
    </row>
    <row r="43" spans="1:9" x14ac:dyDescent="0.3">
      <c r="A43" s="11">
        <v>45596</v>
      </c>
      <c r="B43" s="7" t="s">
        <v>3</v>
      </c>
      <c r="C43" s="7" t="s">
        <v>25</v>
      </c>
      <c r="D43" s="8">
        <v>19743787.57</v>
      </c>
      <c r="E43" s="1">
        <f t="shared" si="1"/>
        <v>2024</v>
      </c>
      <c r="F43" s="1">
        <f t="shared" si="2"/>
        <v>10</v>
      </c>
      <c r="G43" s="1">
        <f t="shared" si="4"/>
        <v>13</v>
      </c>
      <c r="H43" s="13">
        <f>VLOOKUP(B43&amp;C43&amp;G43,cf!D:E,2,FALSE)</f>
        <v>1</v>
      </c>
      <c r="I43" s="2">
        <f t="shared" si="3"/>
        <v>19743787.57</v>
      </c>
    </row>
    <row r="44" spans="1:9" x14ac:dyDescent="0.3">
      <c r="A44" s="11">
        <v>45596</v>
      </c>
      <c r="B44" s="7" t="s">
        <v>3</v>
      </c>
      <c r="C44" s="7" t="s">
        <v>26</v>
      </c>
      <c r="D44" s="8">
        <v>29615681.359999999</v>
      </c>
      <c r="E44" s="1">
        <f t="shared" si="1"/>
        <v>2024</v>
      </c>
      <c r="F44" s="1">
        <f t="shared" si="2"/>
        <v>10</v>
      </c>
      <c r="G44" s="1">
        <f t="shared" si="4"/>
        <v>13</v>
      </c>
      <c r="H44" s="13">
        <f>VLOOKUP(B44&amp;C44&amp;G44,cf!D:E,2,FALSE)</f>
        <v>1</v>
      </c>
      <c r="I44" s="2">
        <f t="shared" si="3"/>
        <v>29615681.359999999</v>
      </c>
    </row>
    <row r="45" spans="1:9" x14ac:dyDescent="0.3">
      <c r="A45" s="11">
        <v>45596</v>
      </c>
      <c r="B45" s="7" t="s">
        <v>4</v>
      </c>
      <c r="C45" s="7" t="s">
        <v>25</v>
      </c>
      <c r="D45" s="8">
        <v>14122961.1</v>
      </c>
      <c r="E45" s="1">
        <f t="shared" si="1"/>
        <v>2024</v>
      </c>
      <c r="F45" s="1">
        <f t="shared" si="2"/>
        <v>10</v>
      </c>
      <c r="G45" s="1">
        <f t="shared" si="4"/>
        <v>13</v>
      </c>
      <c r="H45" s="13">
        <f>VLOOKUP(B45&amp;C45&amp;G45,cf!D:E,2,FALSE)</f>
        <v>1</v>
      </c>
      <c r="I45" s="2">
        <f t="shared" si="3"/>
        <v>14122961.1</v>
      </c>
    </row>
    <row r="46" spans="1:9" x14ac:dyDescent="0.3">
      <c r="A46" s="11">
        <v>45596</v>
      </c>
      <c r="B46" s="7" t="s">
        <v>4</v>
      </c>
      <c r="C46" s="7" t="s">
        <v>26</v>
      </c>
      <c r="D46" s="8">
        <v>21184441.649999999</v>
      </c>
      <c r="E46" s="1">
        <f t="shared" si="1"/>
        <v>2024</v>
      </c>
      <c r="F46" s="1">
        <f t="shared" si="2"/>
        <v>10</v>
      </c>
      <c r="G46" s="1">
        <f t="shared" si="4"/>
        <v>13</v>
      </c>
      <c r="H46" s="13">
        <f>VLOOKUP(B46&amp;C46&amp;G46,cf!D:E,2,FALSE)</f>
        <v>1</v>
      </c>
      <c r="I46" s="2">
        <f t="shared" si="3"/>
        <v>21184441.649999999</v>
      </c>
    </row>
    <row r="47" spans="1:9" x14ac:dyDescent="0.3">
      <c r="A47" s="11">
        <v>45626</v>
      </c>
      <c r="B47" s="7" t="s">
        <v>3</v>
      </c>
      <c r="C47" s="7" t="s">
        <v>25</v>
      </c>
      <c r="D47" s="8">
        <v>21572805.550000001</v>
      </c>
      <c r="E47" s="1">
        <f t="shared" si="1"/>
        <v>2024</v>
      </c>
      <c r="F47" s="1">
        <f t="shared" si="2"/>
        <v>11</v>
      </c>
      <c r="G47" s="1">
        <f t="shared" si="4"/>
        <v>12</v>
      </c>
      <c r="H47" s="13">
        <f>VLOOKUP(B47&amp;C47&amp;G47,cf!D:E,2,FALSE)</f>
        <v>1</v>
      </c>
      <c r="I47" s="2">
        <f t="shared" si="3"/>
        <v>21572805.550000001</v>
      </c>
    </row>
    <row r="48" spans="1:9" x14ac:dyDescent="0.3">
      <c r="A48" s="11">
        <v>45626</v>
      </c>
      <c r="B48" s="7" t="s">
        <v>3</v>
      </c>
      <c r="C48" s="7" t="s">
        <v>26</v>
      </c>
      <c r="D48" s="8">
        <v>32359208.32</v>
      </c>
      <c r="E48" s="1">
        <f t="shared" si="1"/>
        <v>2024</v>
      </c>
      <c r="F48" s="1">
        <f t="shared" si="2"/>
        <v>11</v>
      </c>
      <c r="G48" s="1">
        <f t="shared" si="4"/>
        <v>12</v>
      </c>
      <c r="H48" s="13">
        <f>VLOOKUP(B48&amp;C48&amp;G48,cf!D:E,2,FALSE)</f>
        <v>1</v>
      </c>
      <c r="I48" s="2">
        <f t="shared" si="3"/>
        <v>32359208.32</v>
      </c>
    </row>
    <row r="49" spans="1:9" x14ac:dyDescent="0.3">
      <c r="A49" s="11">
        <v>45626</v>
      </c>
      <c r="B49" s="7" t="s">
        <v>4</v>
      </c>
      <c r="C49" s="7" t="s">
        <v>25</v>
      </c>
      <c r="D49" s="8">
        <v>15431137.550000001</v>
      </c>
      <c r="E49" s="1">
        <f t="shared" si="1"/>
        <v>2024</v>
      </c>
      <c r="F49" s="1">
        <f t="shared" si="2"/>
        <v>11</v>
      </c>
      <c r="G49" s="1">
        <f t="shared" si="4"/>
        <v>12</v>
      </c>
      <c r="H49" s="13">
        <f>VLOOKUP(B49&amp;C49&amp;G49,cf!D:E,2,FALSE)</f>
        <v>1</v>
      </c>
      <c r="I49" s="2">
        <f t="shared" si="3"/>
        <v>15431137.550000001</v>
      </c>
    </row>
    <row r="50" spans="1:9" x14ac:dyDescent="0.3">
      <c r="A50" s="11">
        <v>45626</v>
      </c>
      <c r="B50" s="7" t="s">
        <v>4</v>
      </c>
      <c r="C50" s="7" t="s">
        <v>26</v>
      </c>
      <c r="D50" s="8">
        <v>23146706.329999998</v>
      </c>
      <c r="E50" s="1">
        <f t="shared" si="1"/>
        <v>2024</v>
      </c>
      <c r="F50" s="1">
        <f t="shared" si="2"/>
        <v>11</v>
      </c>
      <c r="G50" s="1">
        <f t="shared" si="4"/>
        <v>12</v>
      </c>
      <c r="H50" s="13">
        <f>VLOOKUP(B50&amp;C50&amp;G50,cf!D:E,2,FALSE)</f>
        <v>1</v>
      </c>
      <c r="I50" s="2">
        <f t="shared" si="3"/>
        <v>23146706.329999998</v>
      </c>
    </row>
    <row r="51" spans="1:9" x14ac:dyDescent="0.3">
      <c r="A51" s="11">
        <v>45657</v>
      </c>
      <c r="B51" s="7" t="s">
        <v>3</v>
      </c>
      <c r="C51" s="7" t="s">
        <v>25</v>
      </c>
      <c r="D51" s="8">
        <v>21951078.760000002</v>
      </c>
      <c r="E51" s="1">
        <f t="shared" si="1"/>
        <v>2024</v>
      </c>
      <c r="F51" s="1">
        <f t="shared" si="2"/>
        <v>12</v>
      </c>
      <c r="G51" s="1">
        <f t="shared" si="4"/>
        <v>11</v>
      </c>
      <c r="H51" s="13">
        <f>VLOOKUP(B51&amp;C51&amp;G51,cf!D:E,2,FALSE)</f>
        <v>1</v>
      </c>
      <c r="I51" s="2">
        <f t="shared" si="3"/>
        <v>21951078.760000002</v>
      </c>
    </row>
    <row r="52" spans="1:9" x14ac:dyDescent="0.3">
      <c r="A52" s="11">
        <v>45657</v>
      </c>
      <c r="B52" s="7" t="s">
        <v>3</v>
      </c>
      <c r="C52" s="7" t="s">
        <v>26</v>
      </c>
      <c r="D52" s="8">
        <v>32926618.140000001</v>
      </c>
      <c r="E52" s="1">
        <f t="shared" si="1"/>
        <v>2024</v>
      </c>
      <c r="F52" s="1">
        <f t="shared" si="2"/>
        <v>12</v>
      </c>
      <c r="G52" s="1">
        <f t="shared" si="4"/>
        <v>11</v>
      </c>
      <c r="H52" s="13">
        <f>VLOOKUP(B52&amp;C52&amp;G52,cf!D:E,2,FALSE)</f>
        <v>1</v>
      </c>
      <c r="I52" s="2">
        <f t="shared" si="3"/>
        <v>32926618.140000001</v>
      </c>
    </row>
    <row r="53" spans="1:9" x14ac:dyDescent="0.3">
      <c r="A53" s="11">
        <v>45657</v>
      </c>
      <c r="B53" s="7" t="s">
        <v>4</v>
      </c>
      <c r="C53" s="7" t="s">
        <v>25</v>
      </c>
      <c r="D53" s="8">
        <v>15701581.01</v>
      </c>
      <c r="E53" s="1">
        <f t="shared" ref="E53:E98" si="5">YEAR(A53)</f>
        <v>2024</v>
      </c>
      <c r="F53" s="1">
        <f t="shared" ref="F53:F98" si="6">MONTH(A53)</f>
        <v>12</v>
      </c>
      <c r="G53" s="1">
        <f t="shared" si="4"/>
        <v>11</v>
      </c>
      <c r="H53" s="13">
        <f>VLOOKUP(B53&amp;C53&amp;G53,cf!D:E,2,FALSE)</f>
        <v>1</v>
      </c>
      <c r="I53" s="2">
        <f t="shared" ref="I53:I98" si="7">D53/H53</f>
        <v>15701581.01</v>
      </c>
    </row>
    <row r="54" spans="1:9" x14ac:dyDescent="0.3">
      <c r="A54" s="11">
        <v>45657</v>
      </c>
      <c r="B54" s="7" t="s">
        <v>4</v>
      </c>
      <c r="C54" s="7" t="s">
        <v>26</v>
      </c>
      <c r="D54" s="8">
        <v>23552371.52</v>
      </c>
      <c r="E54" s="1">
        <f t="shared" si="5"/>
        <v>2024</v>
      </c>
      <c r="F54" s="1">
        <f t="shared" si="6"/>
        <v>12</v>
      </c>
      <c r="G54" s="1">
        <f t="shared" si="4"/>
        <v>11</v>
      </c>
      <c r="H54" s="13">
        <f>VLOOKUP(B54&amp;C54&amp;G54,cf!D:E,2,FALSE)</f>
        <v>1</v>
      </c>
      <c r="I54" s="2">
        <f t="shared" si="7"/>
        <v>23552371.52</v>
      </c>
    </row>
    <row r="55" spans="1:9" x14ac:dyDescent="0.3">
      <c r="A55" s="11">
        <v>45688</v>
      </c>
      <c r="B55" s="7" t="s">
        <v>3</v>
      </c>
      <c r="C55" s="7" t="s">
        <v>25</v>
      </c>
      <c r="D55" s="8">
        <v>21766028.109999999</v>
      </c>
      <c r="E55" s="1">
        <f t="shared" si="5"/>
        <v>2025</v>
      </c>
      <c r="F55" s="1">
        <f t="shared" si="6"/>
        <v>1</v>
      </c>
      <c r="G55" s="1">
        <f t="shared" si="4"/>
        <v>10</v>
      </c>
      <c r="H55" s="13">
        <f>VLOOKUP(B55&amp;C55&amp;G55,cf!D:E,2,FALSE)</f>
        <v>1</v>
      </c>
      <c r="I55" s="2">
        <f t="shared" si="7"/>
        <v>21766028.109999999</v>
      </c>
    </row>
    <row r="56" spans="1:9" x14ac:dyDescent="0.3">
      <c r="A56" s="11">
        <v>45688</v>
      </c>
      <c r="B56" s="7" t="s">
        <v>3</v>
      </c>
      <c r="C56" s="7" t="s">
        <v>26</v>
      </c>
      <c r="D56" s="8">
        <v>32649042.170000002</v>
      </c>
      <c r="E56" s="1">
        <f t="shared" si="5"/>
        <v>2025</v>
      </c>
      <c r="F56" s="1">
        <f t="shared" si="6"/>
        <v>1</v>
      </c>
      <c r="G56" s="1">
        <f t="shared" si="4"/>
        <v>10</v>
      </c>
      <c r="H56" s="13">
        <f>VLOOKUP(B56&amp;C56&amp;G56,cf!D:E,2,FALSE)</f>
        <v>1</v>
      </c>
      <c r="I56" s="2">
        <f t="shared" si="7"/>
        <v>32649042.170000002</v>
      </c>
    </row>
    <row r="57" spans="1:9" x14ac:dyDescent="0.3">
      <c r="A57" s="11">
        <v>45688</v>
      </c>
      <c r="B57" s="7" t="s">
        <v>4</v>
      </c>
      <c r="C57" s="7" t="s">
        <v>25</v>
      </c>
      <c r="D57" s="8">
        <v>15569363.59</v>
      </c>
      <c r="E57" s="1">
        <f t="shared" si="5"/>
        <v>2025</v>
      </c>
      <c r="F57" s="1">
        <f t="shared" si="6"/>
        <v>1</v>
      </c>
      <c r="G57" s="1">
        <f t="shared" si="4"/>
        <v>10</v>
      </c>
      <c r="H57" s="13">
        <f>VLOOKUP(B57&amp;C57&amp;G57,cf!D:E,2,FALSE)</f>
        <v>1</v>
      </c>
      <c r="I57" s="2">
        <f t="shared" si="7"/>
        <v>15569363.59</v>
      </c>
    </row>
    <row r="58" spans="1:9" x14ac:dyDescent="0.3">
      <c r="A58" s="11">
        <v>45688</v>
      </c>
      <c r="B58" s="7" t="s">
        <v>4</v>
      </c>
      <c r="C58" s="7" t="s">
        <v>26</v>
      </c>
      <c r="D58" s="8">
        <v>23354045.379999999</v>
      </c>
      <c r="E58" s="1">
        <f t="shared" si="5"/>
        <v>2025</v>
      </c>
      <c r="F58" s="1">
        <f t="shared" si="6"/>
        <v>1</v>
      </c>
      <c r="G58" s="1">
        <f t="shared" si="4"/>
        <v>10</v>
      </c>
      <c r="H58" s="13">
        <f>VLOOKUP(B58&amp;C58&amp;G58,cf!D:E,2,FALSE)</f>
        <v>1</v>
      </c>
      <c r="I58" s="2">
        <f t="shared" si="7"/>
        <v>23354045.379999999</v>
      </c>
    </row>
    <row r="59" spans="1:9" x14ac:dyDescent="0.3">
      <c r="A59" s="11">
        <v>45716</v>
      </c>
      <c r="B59" s="7" t="s">
        <v>3</v>
      </c>
      <c r="C59" s="7" t="s">
        <v>25</v>
      </c>
      <c r="D59" s="8">
        <v>21712376.780000001</v>
      </c>
      <c r="E59" s="1">
        <f t="shared" si="5"/>
        <v>2025</v>
      </c>
      <c r="F59" s="1">
        <f t="shared" si="6"/>
        <v>2</v>
      </c>
      <c r="G59" s="1">
        <f t="shared" si="4"/>
        <v>9</v>
      </c>
      <c r="H59" s="13">
        <f>VLOOKUP(B59&amp;C59&amp;G59,cf!D:E,2,FALSE)</f>
        <v>0.99603200000000003</v>
      </c>
      <c r="I59" s="2">
        <f t="shared" si="7"/>
        <v>21798874.714868598</v>
      </c>
    </row>
    <row r="60" spans="1:9" x14ac:dyDescent="0.3">
      <c r="A60" s="11">
        <v>45716</v>
      </c>
      <c r="B60" s="7" t="s">
        <v>3</v>
      </c>
      <c r="C60" s="7" t="s">
        <v>26</v>
      </c>
      <c r="D60" s="8">
        <v>32585066.859999999</v>
      </c>
      <c r="E60" s="1">
        <f t="shared" si="5"/>
        <v>2025</v>
      </c>
      <c r="F60" s="1">
        <f t="shared" si="6"/>
        <v>2</v>
      </c>
      <c r="G60" s="1">
        <f t="shared" si="4"/>
        <v>9</v>
      </c>
      <c r="H60" s="13">
        <f>VLOOKUP(B60&amp;C60&amp;G60,cf!D:E,2,FALSE)</f>
        <v>0.99508300000000005</v>
      </c>
      <c r="I60" s="2">
        <f t="shared" si="7"/>
        <v>32746079.332075816</v>
      </c>
    </row>
    <row r="61" spans="1:9" x14ac:dyDescent="0.3">
      <c r="A61" s="11">
        <v>45716</v>
      </c>
      <c r="B61" s="7" t="s">
        <v>4</v>
      </c>
      <c r="C61" s="7" t="s">
        <v>25</v>
      </c>
      <c r="D61" s="8">
        <v>15467572.310000001</v>
      </c>
      <c r="E61" s="1">
        <f t="shared" si="5"/>
        <v>2025</v>
      </c>
      <c r="F61" s="1">
        <f t="shared" si="6"/>
        <v>2</v>
      </c>
      <c r="G61" s="1">
        <f t="shared" si="4"/>
        <v>9</v>
      </c>
      <c r="H61" s="13">
        <f>VLOOKUP(B61&amp;C61&amp;G61,cf!D:E,2,FALSE)</f>
        <v>0.99208099999999999</v>
      </c>
      <c r="I61" s="2">
        <f t="shared" si="7"/>
        <v>15591037.737846004</v>
      </c>
    </row>
    <row r="62" spans="1:9" x14ac:dyDescent="0.3">
      <c r="A62" s="11">
        <v>45716</v>
      </c>
      <c r="B62" s="7" t="s">
        <v>4</v>
      </c>
      <c r="C62" s="7" t="s">
        <v>26</v>
      </c>
      <c r="D62" s="8">
        <v>23272996.890000001</v>
      </c>
      <c r="E62" s="1">
        <f t="shared" si="5"/>
        <v>2025</v>
      </c>
      <c r="F62" s="1">
        <f t="shared" si="6"/>
        <v>2</v>
      </c>
      <c r="G62" s="1">
        <f t="shared" si="4"/>
        <v>9</v>
      </c>
      <c r="H62" s="13">
        <f>VLOOKUP(B62&amp;C62&amp;G62,cf!D:E,2,FALSE)</f>
        <v>0.99387099999999995</v>
      </c>
      <c r="I62" s="2">
        <f t="shared" si="7"/>
        <v>23416516.720982905</v>
      </c>
    </row>
    <row r="63" spans="1:9" x14ac:dyDescent="0.3">
      <c r="A63" s="11">
        <v>45747</v>
      </c>
      <c r="B63" s="7" t="s">
        <v>3</v>
      </c>
      <c r="C63" s="7" t="s">
        <v>25</v>
      </c>
      <c r="D63" s="8">
        <v>20876987.57</v>
      </c>
      <c r="E63" s="1">
        <f t="shared" si="5"/>
        <v>2025</v>
      </c>
      <c r="F63" s="1">
        <f t="shared" si="6"/>
        <v>3</v>
      </c>
      <c r="G63" s="1">
        <f t="shared" si="4"/>
        <v>8</v>
      </c>
      <c r="H63" s="13">
        <f>VLOOKUP(B63&amp;C63&amp;G63,cf!D:E,2,FALSE)</f>
        <v>0.98836900000000005</v>
      </c>
      <c r="I63" s="2">
        <f t="shared" si="7"/>
        <v>21122665.289987847</v>
      </c>
    </row>
    <row r="64" spans="1:9" x14ac:dyDescent="0.3">
      <c r="A64" s="11">
        <v>45747</v>
      </c>
      <c r="B64" s="7" t="s">
        <v>3</v>
      </c>
      <c r="C64" s="7" t="s">
        <v>26</v>
      </c>
      <c r="D64" s="8">
        <v>31317434.579999998</v>
      </c>
      <c r="E64" s="1">
        <f t="shared" si="5"/>
        <v>2025</v>
      </c>
      <c r="F64" s="1">
        <f t="shared" si="6"/>
        <v>3</v>
      </c>
      <c r="G64" s="1">
        <f t="shared" si="4"/>
        <v>8</v>
      </c>
      <c r="H64" s="13">
        <f>VLOOKUP(B64&amp;C64&amp;G64,cf!D:E,2,FALSE)</f>
        <v>0.98782800000000004</v>
      </c>
      <c r="I64" s="2">
        <f t="shared" si="7"/>
        <v>31703327.482112266</v>
      </c>
    </row>
    <row r="65" spans="1:9" x14ac:dyDescent="0.3">
      <c r="A65" s="11">
        <v>45747</v>
      </c>
      <c r="B65" s="7" t="s">
        <v>4</v>
      </c>
      <c r="C65" s="7" t="s">
        <v>25</v>
      </c>
      <c r="D65" s="8">
        <v>14729040.529999999</v>
      </c>
      <c r="E65" s="1">
        <f t="shared" si="5"/>
        <v>2025</v>
      </c>
      <c r="F65" s="1">
        <f t="shared" si="6"/>
        <v>3</v>
      </c>
      <c r="G65" s="1">
        <f t="shared" si="4"/>
        <v>8</v>
      </c>
      <c r="H65" s="13">
        <f>VLOOKUP(B65&amp;C65&amp;G65,cf!D:E,2,FALSE)</f>
        <v>0.97353800000000001</v>
      </c>
      <c r="I65" s="2">
        <f t="shared" si="7"/>
        <v>15129394.569087185</v>
      </c>
    </row>
    <row r="66" spans="1:9" x14ac:dyDescent="0.3">
      <c r="A66" s="11">
        <v>45747</v>
      </c>
      <c r="B66" s="7" t="s">
        <v>4</v>
      </c>
      <c r="C66" s="7" t="s">
        <v>26</v>
      </c>
      <c r="D66" s="8">
        <v>22213212.550000001</v>
      </c>
      <c r="E66" s="1">
        <f t="shared" si="5"/>
        <v>2025</v>
      </c>
      <c r="F66" s="1">
        <f t="shared" si="6"/>
        <v>3</v>
      </c>
      <c r="G66" s="1">
        <f t="shared" si="4"/>
        <v>8</v>
      </c>
      <c r="H66" s="13">
        <f>VLOOKUP(B66&amp;C66&amp;G66,cf!D:E,2,FALSE)</f>
        <v>0.986039</v>
      </c>
      <c r="I66" s="2">
        <f t="shared" si="7"/>
        <v>22527722.077929981</v>
      </c>
    </row>
    <row r="67" spans="1:9" x14ac:dyDescent="0.3">
      <c r="A67" s="11">
        <v>45777</v>
      </c>
      <c r="B67" s="7" t="s">
        <v>3</v>
      </c>
      <c r="C67" s="7" t="s">
        <v>25</v>
      </c>
      <c r="D67" s="8">
        <v>19103496.170000002</v>
      </c>
      <c r="E67" s="1">
        <f t="shared" si="5"/>
        <v>2025</v>
      </c>
      <c r="F67" s="1">
        <f t="shared" si="6"/>
        <v>4</v>
      </c>
      <c r="G67" s="1">
        <f t="shared" si="4"/>
        <v>7</v>
      </c>
      <c r="H67" s="13">
        <f>VLOOKUP(B67&amp;C67&amp;G67,cf!D:E,2,FALSE)</f>
        <v>0.97921100000000005</v>
      </c>
      <c r="I67" s="2">
        <f t="shared" si="7"/>
        <v>19509070.231032945</v>
      </c>
    </row>
    <row r="68" spans="1:9" x14ac:dyDescent="0.3">
      <c r="A68" s="11">
        <v>45777</v>
      </c>
      <c r="B68" s="7" t="s">
        <v>3</v>
      </c>
      <c r="C68" s="7" t="s">
        <v>26</v>
      </c>
      <c r="D68" s="8">
        <v>30848601.789999999</v>
      </c>
      <c r="E68" s="1">
        <f t="shared" si="5"/>
        <v>2025</v>
      </c>
      <c r="F68" s="1">
        <f t="shared" si="6"/>
        <v>4</v>
      </c>
      <c r="G68" s="1">
        <f t="shared" si="4"/>
        <v>7</v>
      </c>
      <c r="H68" s="13">
        <f>VLOOKUP(B68&amp;C68&amp;G68,cf!D:E,2,FALSE)</f>
        <v>0.97972700000000001</v>
      </c>
      <c r="I68" s="2">
        <f t="shared" si="7"/>
        <v>31486936.4527057</v>
      </c>
    </row>
    <row r="69" spans="1:9" x14ac:dyDescent="0.3">
      <c r="A69" s="11">
        <v>45777</v>
      </c>
      <c r="B69" s="7" t="s">
        <v>4</v>
      </c>
      <c r="C69" s="7" t="s">
        <v>25</v>
      </c>
      <c r="D69" s="8">
        <v>14487718.48</v>
      </c>
      <c r="E69" s="1">
        <f t="shared" si="5"/>
        <v>2025</v>
      </c>
      <c r="F69" s="1">
        <f t="shared" si="6"/>
        <v>4</v>
      </c>
      <c r="G69" s="1">
        <f t="shared" si="4"/>
        <v>7</v>
      </c>
      <c r="H69" s="13">
        <f>VLOOKUP(B69&amp;C69&amp;G69,cf!D:E,2,FALSE)</f>
        <v>0.95257099999999995</v>
      </c>
      <c r="I69" s="2">
        <f t="shared" si="7"/>
        <v>15209069.434194408</v>
      </c>
    </row>
    <row r="70" spans="1:9" x14ac:dyDescent="0.3">
      <c r="A70" s="11">
        <v>45777</v>
      </c>
      <c r="B70" s="7" t="s">
        <v>4</v>
      </c>
      <c r="C70" s="7" t="s">
        <v>26</v>
      </c>
      <c r="D70" s="8">
        <v>22359402.84</v>
      </c>
      <c r="E70" s="1">
        <f t="shared" si="5"/>
        <v>2025</v>
      </c>
      <c r="F70" s="1">
        <f t="shared" si="6"/>
        <v>4</v>
      </c>
      <c r="G70" s="1">
        <f t="shared" si="4"/>
        <v>7</v>
      </c>
      <c r="H70" s="13">
        <f>VLOOKUP(B70&amp;C70&amp;G70,cf!D:E,2,FALSE)</f>
        <v>0.97376099999999999</v>
      </c>
      <c r="I70" s="2">
        <f t="shared" si="7"/>
        <v>22961900.137713462</v>
      </c>
    </row>
    <row r="71" spans="1:9" x14ac:dyDescent="0.3">
      <c r="A71" s="11">
        <v>45808</v>
      </c>
      <c r="B71" s="7" t="s">
        <v>3</v>
      </c>
      <c r="C71" s="7" t="s">
        <v>25</v>
      </c>
      <c r="D71" s="8">
        <v>19037160.399999999</v>
      </c>
      <c r="E71" s="1">
        <f t="shared" si="5"/>
        <v>2025</v>
      </c>
      <c r="F71" s="1">
        <f t="shared" si="6"/>
        <v>5</v>
      </c>
      <c r="G71" s="1">
        <f t="shared" ref="G71:G98" si="8">(YEAR(close_date)-YEAR(A71))*12+MONTH(close_date)-MONTH(A71)</f>
        <v>6</v>
      </c>
      <c r="H71" s="13">
        <f>VLOOKUP(B71&amp;C71&amp;G71,cf!D:E,2,FALSE)</f>
        <v>0.96482000000000001</v>
      </c>
      <c r="I71" s="2">
        <f t="shared" si="7"/>
        <v>19731307.80871043</v>
      </c>
    </row>
    <row r="72" spans="1:9" x14ac:dyDescent="0.3">
      <c r="A72" s="11">
        <v>45808</v>
      </c>
      <c r="B72" s="7" t="s">
        <v>3</v>
      </c>
      <c r="C72" s="7" t="s">
        <v>26</v>
      </c>
      <c r="D72" s="8">
        <v>28920376.75</v>
      </c>
      <c r="E72" s="1">
        <f t="shared" si="5"/>
        <v>2025</v>
      </c>
      <c r="F72" s="1">
        <f t="shared" si="6"/>
        <v>5</v>
      </c>
      <c r="G72" s="1">
        <f t="shared" si="8"/>
        <v>6</v>
      </c>
      <c r="H72" s="13">
        <f>VLOOKUP(B72&amp;C72&amp;G72,cf!D:E,2,FALSE)</f>
        <v>0.97025399999999995</v>
      </c>
      <c r="I72" s="2">
        <f t="shared" si="7"/>
        <v>29807016.255537212</v>
      </c>
    </row>
    <row r="73" spans="1:9" x14ac:dyDescent="0.3">
      <c r="A73" s="11">
        <v>45808</v>
      </c>
      <c r="B73" s="7" t="s">
        <v>4</v>
      </c>
      <c r="C73" s="7" t="s">
        <v>25</v>
      </c>
      <c r="D73" s="8">
        <v>12513596.390000001</v>
      </c>
      <c r="E73" s="1">
        <f t="shared" si="5"/>
        <v>2025</v>
      </c>
      <c r="F73" s="1">
        <f t="shared" si="6"/>
        <v>5</v>
      </c>
      <c r="G73" s="1">
        <f t="shared" si="8"/>
        <v>6</v>
      </c>
      <c r="H73" s="13">
        <f>VLOOKUP(B73&amp;C73&amp;G73,cf!D:E,2,FALSE)</f>
        <v>0.92469199999999996</v>
      </c>
      <c r="I73" s="2">
        <f t="shared" si="7"/>
        <v>13532718.34297258</v>
      </c>
    </row>
    <row r="74" spans="1:9" x14ac:dyDescent="0.3">
      <c r="A74" s="11">
        <v>45808</v>
      </c>
      <c r="B74" s="7" t="s">
        <v>4</v>
      </c>
      <c r="C74" s="7" t="s">
        <v>26</v>
      </c>
      <c r="D74" s="8">
        <v>20482863.010000002</v>
      </c>
      <c r="E74" s="1">
        <f t="shared" si="5"/>
        <v>2025</v>
      </c>
      <c r="F74" s="1">
        <f t="shared" si="6"/>
        <v>5</v>
      </c>
      <c r="G74" s="1">
        <f t="shared" si="8"/>
        <v>6</v>
      </c>
      <c r="H74" s="13">
        <f>VLOOKUP(B74&amp;C74&amp;G74,cf!D:E,2,FALSE)</f>
        <v>0.95676600000000001</v>
      </c>
      <c r="I74" s="2">
        <f t="shared" si="7"/>
        <v>21408435.301839739</v>
      </c>
    </row>
    <row r="75" spans="1:9" x14ac:dyDescent="0.3">
      <c r="A75" s="11">
        <v>45838</v>
      </c>
      <c r="B75" s="7" t="s">
        <v>3</v>
      </c>
      <c r="C75" s="7" t="s">
        <v>25</v>
      </c>
      <c r="D75" s="8">
        <v>17672700.719999999</v>
      </c>
      <c r="E75" s="1">
        <f t="shared" si="5"/>
        <v>2025</v>
      </c>
      <c r="F75" s="1">
        <f t="shared" si="6"/>
        <v>6</v>
      </c>
      <c r="G75" s="1">
        <f t="shared" si="8"/>
        <v>5</v>
      </c>
      <c r="H75" s="13">
        <f>VLOOKUP(B75&amp;C75&amp;G75,cf!D:E,2,FALSE)</f>
        <v>0.93152100000000004</v>
      </c>
      <c r="I75" s="2">
        <f t="shared" si="7"/>
        <v>18971875.803121988</v>
      </c>
    </row>
    <row r="76" spans="1:9" x14ac:dyDescent="0.3">
      <c r="A76" s="11">
        <v>45838</v>
      </c>
      <c r="B76" s="7" t="s">
        <v>3</v>
      </c>
      <c r="C76" s="7" t="s">
        <v>26</v>
      </c>
      <c r="D76" s="8">
        <v>28551368.289999999</v>
      </c>
      <c r="E76" s="1">
        <f t="shared" si="5"/>
        <v>2025</v>
      </c>
      <c r="F76" s="1">
        <f t="shared" si="6"/>
        <v>6</v>
      </c>
      <c r="G76" s="1">
        <f t="shared" si="8"/>
        <v>5</v>
      </c>
      <c r="H76" s="13">
        <f>VLOOKUP(B76&amp;C76&amp;G76,cf!D:E,2,FALSE)</f>
        <v>0.95551799999999998</v>
      </c>
      <c r="I76" s="2">
        <f t="shared" si="7"/>
        <v>29880513.281801075</v>
      </c>
    </row>
    <row r="77" spans="1:9" x14ac:dyDescent="0.3">
      <c r="A77" s="11">
        <v>45838</v>
      </c>
      <c r="B77" s="7" t="s">
        <v>4</v>
      </c>
      <c r="C77" s="7" t="s">
        <v>25</v>
      </c>
      <c r="D77" s="8">
        <v>11508008.68</v>
      </c>
      <c r="E77" s="1">
        <f t="shared" si="5"/>
        <v>2025</v>
      </c>
      <c r="F77" s="1">
        <f t="shared" si="6"/>
        <v>6</v>
      </c>
      <c r="G77" s="1">
        <f t="shared" si="8"/>
        <v>5</v>
      </c>
      <c r="H77" s="13">
        <f>VLOOKUP(B77&amp;C77&amp;G77,cf!D:E,2,FALSE)</f>
        <v>0.88404300000000002</v>
      </c>
      <c r="I77" s="2">
        <f t="shared" si="7"/>
        <v>13017476.163489785</v>
      </c>
    </row>
    <row r="78" spans="1:9" x14ac:dyDescent="0.3">
      <c r="A78" s="11">
        <v>45838</v>
      </c>
      <c r="B78" s="7" t="s">
        <v>4</v>
      </c>
      <c r="C78" s="7" t="s">
        <v>26</v>
      </c>
      <c r="D78" s="8">
        <v>19676361.399999999</v>
      </c>
      <c r="E78" s="1">
        <f t="shared" si="5"/>
        <v>2025</v>
      </c>
      <c r="F78" s="1">
        <f t="shared" si="6"/>
        <v>6</v>
      </c>
      <c r="G78" s="1">
        <f t="shared" si="8"/>
        <v>5</v>
      </c>
      <c r="H78" s="13">
        <f>VLOOKUP(B78&amp;C78&amp;G78,cf!D:E,2,FALSE)</f>
        <v>0.93115499999999995</v>
      </c>
      <c r="I78" s="2">
        <f t="shared" si="7"/>
        <v>21131134.343906224</v>
      </c>
    </row>
    <row r="79" spans="1:9" x14ac:dyDescent="0.3">
      <c r="A79" s="11">
        <v>45869</v>
      </c>
      <c r="B79" s="7" t="s">
        <v>3</v>
      </c>
      <c r="C79" s="7" t="s">
        <v>25</v>
      </c>
      <c r="D79" s="8">
        <v>18725585.949999999</v>
      </c>
      <c r="E79" s="1">
        <f t="shared" si="5"/>
        <v>2025</v>
      </c>
      <c r="F79" s="1">
        <f t="shared" si="6"/>
        <v>7</v>
      </c>
      <c r="G79" s="1">
        <f t="shared" si="8"/>
        <v>4</v>
      </c>
      <c r="H79" s="13">
        <f>VLOOKUP(B79&amp;C79&amp;G79,cf!D:E,2,FALSE)</f>
        <v>0.88458999999999999</v>
      </c>
      <c r="I79" s="2">
        <f t="shared" si="7"/>
        <v>21168661.131145503</v>
      </c>
    </row>
    <row r="80" spans="1:9" x14ac:dyDescent="0.3">
      <c r="A80" s="11">
        <v>45869</v>
      </c>
      <c r="B80" s="7" t="s">
        <v>3</v>
      </c>
      <c r="C80" s="7" t="s">
        <v>26</v>
      </c>
      <c r="D80" s="8">
        <v>27531231.010000002</v>
      </c>
      <c r="E80" s="1">
        <f t="shared" si="5"/>
        <v>2025</v>
      </c>
      <c r="F80" s="1">
        <f t="shared" si="6"/>
        <v>7</v>
      </c>
      <c r="G80" s="1">
        <f t="shared" si="8"/>
        <v>4</v>
      </c>
      <c r="H80" s="13">
        <f>VLOOKUP(B80&amp;C80&amp;G80,cf!D:E,2,FALSE)</f>
        <v>0.93655500000000003</v>
      </c>
      <c r="I80" s="2">
        <f t="shared" si="7"/>
        <v>29396277.858748287</v>
      </c>
    </row>
    <row r="81" spans="1:9" x14ac:dyDescent="0.3">
      <c r="A81" s="11">
        <v>45869</v>
      </c>
      <c r="B81" s="7" t="s">
        <v>4</v>
      </c>
      <c r="C81" s="7" t="s">
        <v>25</v>
      </c>
      <c r="D81" s="8">
        <v>13102862.689999999</v>
      </c>
      <c r="E81" s="1">
        <f t="shared" si="5"/>
        <v>2025</v>
      </c>
      <c r="F81" s="1">
        <f t="shared" si="6"/>
        <v>7</v>
      </c>
      <c r="G81" s="1">
        <f t="shared" si="8"/>
        <v>4</v>
      </c>
      <c r="H81" s="13">
        <f>VLOOKUP(B81&amp;C81&amp;G81,cf!D:E,2,FALSE)</f>
        <v>0.823299</v>
      </c>
      <c r="I81" s="2">
        <f t="shared" si="7"/>
        <v>15915071.790443083</v>
      </c>
    </row>
    <row r="82" spans="1:9" x14ac:dyDescent="0.3">
      <c r="A82" s="11">
        <v>45869</v>
      </c>
      <c r="B82" s="7" t="s">
        <v>4</v>
      </c>
      <c r="C82" s="7" t="s">
        <v>26</v>
      </c>
      <c r="D82" s="8">
        <v>19983771.07</v>
      </c>
      <c r="E82" s="1">
        <f t="shared" si="5"/>
        <v>2025</v>
      </c>
      <c r="F82" s="1">
        <f t="shared" si="6"/>
        <v>7</v>
      </c>
      <c r="G82" s="1">
        <f t="shared" si="8"/>
        <v>4</v>
      </c>
      <c r="H82" s="13">
        <f>VLOOKUP(B82&amp;C82&amp;G82,cf!D:E,2,FALSE)</f>
        <v>0.90603</v>
      </c>
      <c r="I82" s="2">
        <f t="shared" si="7"/>
        <v>22056412.11659658</v>
      </c>
    </row>
    <row r="83" spans="1:9" x14ac:dyDescent="0.3">
      <c r="A83" s="11">
        <v>45900</v>
      </c>
      <c r="B83" s="7" t="s">
        <v>3</v>
      </c>
      <c r="C83" s="7" t="s">
        <v>25</v>
      </c>
      <c r="D83" s="8">
        <v>16300173.73</v>
      </c>
      <c r="E83" s="1">
        <f t="shared" si="5"/>
        <v>2025</v>
      </c>
      <c r="F83" s="1">
        <f t="shared" si="6"/>
        <v>8</v>
      </c>
      <c r="G83" s="1">
        <f t="shared" si="8"/>
        <v>3</v>
      </c>
      <c r="H83" s="13">
        <f>VLOOKUP(B83&amp;C83&amp;G83,cf!D:E,2,FALSE)</f>
        <v>0.80787200000000003</v>
      </c>
      <c r="I83" s="2">
        <f t="shared" si="7"/>
        <v>20176678.644636773</v>
      </c>
    </row>
    <row r="84" spans="1:9" x14ac:dyDescent="0.3">
      <c r="A84" s="11">
        <v>45900</v>
      </c>
      <c r="B84" s="7" t="s">
        <v>3</v>
      </c>
      <c r="C84" s="7" t="s">
        <v>26</v>
      </c>
      <c r="D84" s="8">
        <v>27675930.100000001</v>
      </c>
      <c r="E84" s="1">
        <f t="shared" si="5"/>
        <v>2025</v>
      </c>
      <c r="F84" s="1">
        <f t="shared" si="6"/>
        <v>8</v>
      </c>
      <c r="G84" s="1">
        <f t="shared" si="8"/>
        <v>3</v>
      </c>
      <c r="H84" s="13">
        <f>VLOOKUP(B84&amp;C84&amp;G84,cf!D:E,2,FALSE)</f>
        <v>0.90224599999999999</v>
      </c>
      <c r="I84" s="2">
        <f t="shared" si="7"/>
        <v>30674483.566566106</v>
      </c>
    </row>
    <row r="85" spans="1:9" x14ac:dyDescent="0.3">
      <c r="A85" s="11">
        <v>45900</v>
      </c>
      <c r="B85" s="7" t="s">
        <v>4</v>
      </c>
      <c r="C85" s="7" t="s">
        <v>25</v>
      </c>
      <c r="D85" s="8">
        <v>8860978.3800000008</v>
      </c>
      <c r="E85" s="1">
        <f t="shared" si="5"/>
        <v>2025</v>
      </c>
      <c r="F85" s="1">
        <f t="shared" si="6"/>
        <v>8</v>
      </c>
      <c r="G85" s="1">
        <f t="shared" si="8"/>
        <v>3</v>
      </c>
      <c r="H85" s="13">
        <f>VLOOKUP(B85&amp;C85&amp;G85,cf!D:E,2,FALSE)</f>
        <v>0.73339299999999996</v>
      </c>
      <c r="I85" s="2">
        <f t="shared" si="7"/>
        <v>12082169.287135275</v>
      </c>
    </row>
    <row r="86" spans="1:9" x14ac:dyDescent="0.3">
      <c r="A86" s="11">
        <v>45900</v>
      </c>
      <c r="B86" s="7" t="s">
        <v>4</v>
      </c>
      <c r="C86" s="7" t="s">
        <v>26</v>
      </c>
      <c r="D86" s="8">
        <v>18594101.77</v>
      </c>
      <c r="E86" s="1">
        <f t="shared" si="5"/>
        <v>2025</v>
      </c>
      <c r="F86" s="1">
        <f t="shared" si="6"/>
        <v>8</v>
      </c>
      <c r="G86" s="1">
        <f t="shared" si="8"/>
        <v>3</v>
      </c>
      <c r="H86" s="13">
        <f>VLOOKUP(B86&amp;C86&amp;G86,cf!D:E,2,FALSE)</f>
        <v>0.85727600000000004</v>
      </c>
      <c r="I86" s="2">
        <f t="shared" si="7"/>
        <v>21689749.590563599</v>
      </c>
    </row>
    <row r="87" spans="1:9" x14ac:dyDescent="0.3">
      <c r="A87" s="11">
        <v>45930</v>
      </c>
      <c r="B87" s="7" t="s">
        <v>3</v>
      </c>
      <c r="C87" s="7" t="s">
        <v>25</v>
      </c>
      <c r="D87" s="8">
        <v>12982264.369999999</v>
      </c>
      <c r="E87" s="1">
        <f t="shared" si="5"/>
        <v>2025</v>
      </c>
      <c r="F87" s="1">
        <f t="shared" si="6"/>
        <v>9</v>
      </c>
      <c r="G87" s="1">
        <f t="shared" si="8"/>
        <v>2</v>
      </c>
      <c r="H87" s="13">
        <f>VLOOKUP(B87&amp;C87&amp;G87,cf!D:E,2,FALSE)</f>
        <v>0.65561100000000005</v>
      </c>
      <c r="I87" s="2">
        <f t="shared" si="7"/>
        <v>19801779.363067426</v>
      </c>
    </row>
    <row r="88" spans="1:9" x14ac:dyDescent="0.3">
      <c r="A88" s="11">
        <v>45930</v>
      </c>
      <c r="B88" s="7" t="s">
        <v>3</v>
      </c>
      <c r="C88" s="7" t="s">
        <v>26</v>
      </c>
      <c r="D88" s="8">
        <v>27104169.859999999</v>
      </c>
      <c r="E88" s="1">
        <f t="shared" si="5"/>
        <v>2025</v>
      </c>
      <c r="F88" s="1">
        <f t="shared" si="6"/>
        <v>9</v>
      </c>
      <c r="G88" s="1">
        <f t="shared" si="8"/>
        <v>2</v>
      </c>
      <c r="H88" s="13">
        <f>VLOOKUP(B88&amp;C88&amp;G88,cf!D:E,2,FALSE)</f>
        <v>0.85211599999999998</v>
      </c>
      <c r="I88" s="2">
        <f t="shared" si="7"/>
        <v>31808075.262053523</v>
      </c>
    </row>
    <row r="89" spans="1:9" x14ac:dyDescent="0.3">
      <c r="A89" s="11">
        <v>45930</v>
      </c>
      <c r="B89" s="7" t="s">
        <v>4</v>
      </c>
      <c r="C89" s="7" t="s">
        <v>25</v>
      </c>
      <c r="D89" s="8">
        <v>8622164.5999999996</v>
      </c>
      <c r="E89" s="1">
        <f t="shared" si="5"/>
        <v>2025</v>
      </c>
      <c r="F89" s="1">
        <f t="shared" si="6"/>
        <v>9</v>
      </c>
      <c r="G89" s="1">
        <f t="shared" si="8"/>
        <v>2</v>
      </c>
      <c r="H89" s="13">
        <f>VLOOKUP(B89&amp;C89&amp;G89,cf!D:E,2,FALSE)</f>
        <v>0.57162500000000005</v>
      </c>
      <c r="I89" s="2">
        <f t="shared" si="7"/>
        <v>15083603.061447626</v>
      </c>
    </row>
    <row r="90" spans="1:9" x14ac:dyDescent="0.3">
      <c r="A90" s="11">
        <v>45930</v>
      </c>
      <c r="B90" s="7" t="s">
        <v>4</v>
      </c>
      <c r="C90" s="7" t="s">
        <v>26</v>
      </c>
      <c r="D90" s="8">
        <v>18289990.300000001</v>
      </c>
      <c r="E90" s="1">
        <f t="shared" si="5"/>
        <v>2025</v>
      </c>
      <c r="F90" s="1">
        <f t="shared" si="6"/>
        <v>9</v>
      </c>
      <c r="G90" s="1">
        <f t="shared" si="8"/>
        <v>2</v>
      </c>
      <c r="H90" s="13">
        <f>VLOOKUP(B90&amp;C90&amp;G90,cf!D:E,2,FALSE)</f>
        <v>0.76142200000000004</v>
      </c>
      <c r="I90" s="2">
        <f t="shared" si="7"/>
        <v>24020832.468722995</v>
      </c>
    </row>
    <row r="91" spans="1:9" x14ac:dyDescent="0.3">
      <c r="A91" s="11">
        <v>45961</v>
      </c>
      <c r="B91" s="7" t="s">
        <v>3</v>
      </c>
      <c r="C91" s="7" t="s">
        <v>25</v>
      </c>
      <c r="D91" s="8">
        <v>9809556.0500000007</v>
      </c>
      <c r="E91" s="1">
        <f t="shared" si="5"/>
        <v>2025</v>
      </c>
      <c r="F91" s="1">
        <f t="shared" si="6"/>
        <v>10</v>
      </c>
      <c r="G91" s="1">
        <f t="shared" si="8"/>
        <v>1</v>
      </c>
      <c r="H91" s="13">
        <f>VLOOKUP(B91&amp;C91&amp;G91,cf!D:E,2,FALSE)</f>
        <v>0.37734099999999998</v>
      </c>
      <c r="I91" s="2">
        <f t="shared" si="7"/>
        <v>25996528.471594661</v>
      </c>
    </row>
    <row r="92" spans="1:9" x14ac:dyDescent="0.3">
      <c r="A92" s="11">
        <v>45961</v>
      </c>
      <c r="B92" s="7" t="s">
        <v>3</v>
      </c>
      <c r="C92" s="7" t="s">
        <v>26</v>
      </c>
      <c r="D92" s="8">
        <v>22067962.449999999</v>
      </c>
      <c r="E92" s="1">
        <f t="shared" si="5"/>
        <v>2025</v>
      </c>
      <c r="F92" s="1">
        <f t="shared" si="6"/>
        <v>10</v>
      </c>
      <c r="G92" s="1">
        <f t="shared" si="8"/>
        <v>1</v>
      </c>
      <c r="H92" s="13">
        <f>VLOOKUP(B92&amp;C92&amp;G92,cf!D:E,2,FALSE)</f>
        <v>0.67301299999999997</v>
      </c>
      <c r="I92" s="2">
        <f t="shared" si="7"/>
        <v>32789801.162830435</v>
      </c>
    </row>
    <row r="93" spans="1:9" x14ac:dyDescent="0.3">
      <c r="A93" s="11">
        <v>45961</v>
      </c>
      <c r="B93" s="7" t="s">
        <v>4</v>
      </c>
      <c r="C93" s="7" t="s">
        <v>25</v>
      </c>
      <c r="D93" s="8">
        <v>6888258.2000000002</v>
      </c>
      <c r="E93" s="1">
        <f t="shared" si="5"/>
        <v>2025</v>
      </c>
      <c r="F93" s="1">
        <f t="shared" si="6"/>
        <v>10</v>
      </c>
      <c r="G93" s="1">
        <f t="shared" si="8"/>
        <v>1</v>
      </c>
      <c r="H93" s="13">
        <f>VLOOKUP(B93&amp;C93&amp;G93,cf!D:E,2,FALSE)</f>
        <v>0.31600299999999998</v>
      </c>
      <c r="I93" s="2">
        <f t="shared" si="7"/>
        <v>21798078.499254756</v>
      </c>
    </row>
    <row r="94" spans="1:9" x14ac:dyDescent="0.3">
      <c r="A94" s="11">
        <v>45961</v>
      </c>
      <c r="B94" s="7" t="s">
        <v>4</v>
      </c>
      <c r="C94" s="7" t="s">
        <v>26</v>
      </c>
      <c r="D94" s="8">
        <v>14551390.99</v>
      </c>
      <c r="E94" s="1">
        <f t="shared" si="5"/>
        <v>2025</v>
      </c>
      <c r="F94" s="1">
        <f t="shared" si="6"/>
        <v>10</v>
      </c>
      <c r="G94" s="1">
        <f t="shared" si="8"/>
        <v>1</v>
      </c>
      <c r="H94" s="13">
        <f>VLOOKUP(B94&amp;C94&amp;G94,cf!D:E,2,FALSE)</f>
        <v>0.56863799999999998</v>
      </c>
      <c r="I94" s="2">
        <f t="shared" si="7"/>
        <v>25589902.521463569</v>
      </c>
    </row>
    <row r="95" spans="1:9" x14ac:dyDescent="0.3">
      <c r="A95" s="11">
        <v>45991</v>
      </c>
      <c r="B95" s="7" t="s">
        <v>3</v>
      </c>
      <c r="C95" s="7" t="s">
        <v>25</v>
      </c>
      <c r="D95" s="8">
        <v>666458.69999999995</v>
      </c>
      <c r="E95" s="1">
        <f t="shared" si="5"/>
        <v>2025</v>
      </c>
      <c r="F95" s="1">
        <f t="shared" si="6"/>
        <v>11</v>
      </c>
      <c r="G95" s="1">
        <f t="shared" si="8"/>
        <v>0</v>
      </c>
      <c r="H95" s="13">
        <f>VLOOKUP(B95&amp;C95&amp;G95,cf!D:E,2,FALSE)</f>
        <v>2.6009000000000001E-2</v>
      </c>
      <c r="I95" s="2">
        <f t="shared" si="7"/>
        <v>25624157.022569109</v>
      </c>
    </row>
    <row r="96" spans="1:9" x14ac:dyDescent="0.3">
      <c r="A96" s="11">
        <v>45991</v>
      </c>
      <c r="B96" s="7" t="s">
        <v>3</v>
      </c>
      <c r="C96" s="7" t="s">
        <v>26</v>
      </c>
      <c r="D96" s="8">
        <v>1879648.6</v>
      </c>
      <c r="E96" s="1">
        <f t="shared" si="5"/>
        <v>2025</v>
      </c>
      <c r="F96" s="1">
        <f t="shared" si="6"/>
        <v>11</v>
      </c>
      <c r="G96" s="1">
        <f t="shared" si="8"/>
        <v>0</v>
      </c>
      <c r="H96" s="13">
        <f>VLOOKUP(B96&amp;C96&amp;G96,cf!D:E,2,FALSE)</f>
        <v>7.2995000000000004E-2</v>
      </c>
      <c r="I96" s="2">
        <f t="shared" si="7"/>
        <v>25750374.68319748</v>
      </c>
    </row>
    <row r="97" spans="1:9" x14ac:dyDescent="0.3">
      <c r="A97" s="11">
        <v>45991</v>
      </c>
      <c r="B97" s="7" t="s">
        <v>4</v>
      </c>
      <c r="C97" s="7" t="s">
        <v>25</v>
      </c>
      <c r="D97" s="8">
        <v>156851.5</v>
      </c>
      <c r="E97" s="1">
        <f t="shared" si="5"/>
        <v>2025</v>
      </c>
      <c r="F97" s="1">
        <f t="shared" si="6"/>
        <v>11</v>
      </c>
      <c r="G97" s="1">
        <f t="shared" si="8"/>
        <v>0</v>
      </c>
      <c r="H97" s="13">
        <f>VLOOKUP(B97&amp;C97&amp;G97,cf!D:E,2,FALSE)</f>
        <v>1.9352000000000001E-2</v>
      </c>
      <c r="I97" s="2">
        <f t="shared" si="7"/>
        <v>8105182.9268292682</v>
      </c>
    </row>
    <row r="98" spans="1:9" x14ac:dyDescent="0.3">
      <c r="A98" s="11">
        <v>45991</v>
      </c>
      <c r="B98" s="7" t="s">
        <v>4</v>
      </c>
      <c r="C98" s="7" t="s">
        <v>26</v>
      </c>
      <c r="D98" s="8">
        <v>2045058.68</v>
      </c>
      <c r="E98" s="1">
        <f t="shared" si="5"/>
        <v>2025</v>
      </c>
      <c r="F98" s="1">
        <f t="shared" si="6"/>
        <v>11</v>
      </c>
      <c r="G98" s="1">
        <f t="shared" si="8"/>
        <v>0</v>
      </c>
      <c r="H98" s="13">
        <f>VLOOKUP(B98&amp;C98&amp;G98,cf!D:E,2,FALSE)</f>
        <v>4.7576E-2</v>
      </c>
      <c r="I98" s="2">
        <f t="shared" si="7"/>
        <v>42985090.802085087</v>
      </c>
    </row>
    <row r="99" spans="1:9" x14ac:dyDescent="0.3">
      <c r="A99" s="11"/>
      <c r="B99" s="7"/>
      <c r="C99" s="7"/>
      <c r="D99" s="8"/>
      <c r="E99" s="8"/>
      <c r="F99" s="8"/>
      <c r="G99" s="8"/>
      <c r="H99" s="8"/>
      <c r="I99" s="8"/>
    </row>
    <row r="100" spans="1:9" x14ac:dyDescent="0.3">
      <c r="A100" s="11"/>
      <c r="B100" s="7"/>
      <c r="C100" s="7"/>
      <c r="D100" s="8"/>
      <c r="E100" s="8"/>
      <c r="F100" s="8"/>
      <c r="G100" s="8"/>
      <c r="H100" s="8"/>
      <c r="I100" s="8"/>
    </row>
    <row r="101" spans="1:9" x14ac:dyDescent="0.3">
      <c r="A101" s="11"/>
      <c r="B101" s="7"/>
      <c r="C101" s="7"/>
      <c r="D101" s="8"/>
      <c r="E101" s="8"/>
      <c r="F101" s="8"/>
      <c r="G101" s="8"/>
      <c r="H101" s="8"/>
      <c r="I101" s="8"/>
    </row>
    <row r="102" spans="1:9" x14ac:dyDescent="0.3">
      <c r="A102" s="11"/>
      <c r="B102" s="7"/>
      <c r="C102" s="7"/>
      <c r="D102" s="8"/>
      <c r="E102" s="8"/>
      <c r="F102" s="8"/>
      <c r="G102" s="8"/>
      <c r="H102" s="8"/>
      <c r="I102" s="8"/>
    </row>
    <row r="103" spans="1:9" x14ac:dyDescent="0.3">
      <c r="A103" s="11"/>
      <c r="B103" s="7"/>
      <c r="C103" s="7"/>
      <c r="D103" s="8"/>
      <c r="E103" s="8"/>
      <c r="F103" s="8"/>
      <c r="G103" s="8"/>
      <c r="H103" s="8"/>
      <c r="I103" s="8"/>
    </row>
    <row r="104" spans="1:9" x14ac:dyDescent="0.3">
      <c r="A104" s="11"/>
      <c r="B104" s="7"/>
      <c r="C104" s="7"/>
      <c r="D104" s="8"/>
      <c r="E104" s="8"/>
      <c r="F104" s="8"/>
      <c r="G104" s="8"/>
      <c r="H104" s="8"/>
      <c r="I104" s="8"/>
    </row>
    <row r="105" spans="1:9" x14ac:dyDescent="0.3">
      <c r="A105" s="11"/>
      <c r="B105" s="7"/>
      <c r="C105" s="7"/>
      <c r="D105" s="8"/>
      <c r="E105" s="8"/>
      <c r="F105" s="8"/>
      <c r="G105" s="8"/>
      <c r="H105" s="8"/>
      <c r="I105" s="8"/>
    </row>
    <row r="106" spans="1:9" x14ac:dyDescent="0.3">
      <c r="A106" s="11"/>
      <c r="B106" s="7"/>
      <c r="C106" s="7"/>
      <c r="D106" s="8"/>
      <c r="E106" s="8"/>
      <c r="F106" s="8"/>
      <c r="G106" s="8"/>
      <c r="H106" s="8"/>
      <c r="I106" s="8"/>
    </row>
    <row r="107" spans="1:9" x14ac:dyDescent="0.3">
      <c r="A107" s="11"/>
      <c r="B107" s="7"/>
      <c r="C107" s="7"/>
      <c r="D107" s="8"/>
      <c r="E107" s="8"/>
      <c r="F107" s="8"/>
      <c r="G107" s="8"/>
      <c r="H107" s="8"/>
      <c r="I107" s="8"/>
    </row>
    <row r="108" spans="1:9" x14ac:dyDescent="0.3">
      <c r="A108" s="11"/>
      <c r="B108" s="7"/>
      <c r="C108" s="7"/>
      <c r="D108" s="8"/>
      <c r="E108" s="8"/>
      <c r="F108" s="8"/>
      <c r="G108" s="8"/>
      <c r="H108" s="8"/>
      <c r="I108" s="8"/>
    </row>
    <row r="109" spans="1:9" x14ac:dyDescent="0.3">
      <c r="A109" s="11"/>
      <c r="B109" s="7"/>
      <c r="C109" s="7"/>
      <c r="D109" s="8"/>
      <c r="E109" s="8"/>
      <c r="F109" s="8"/>
      <c r="G109" s="8"/>
      <c r="H109" s="8"/>
      <c r="I109" s="8"/>
    </row>
    <row r="110" spans="1:9" x14ac:dyDescent="0.3">
      <c r="A110" s="11"/>
      <c r="B110" s="7"/>
      <c r="C110" s="7"/>
      <c r="D110" s="8"/>
      <c r="E110" s="8"/>
      <c r="F110" s="8"/>
      <c r="G110" s="8"/>
      <c r="H110" s="8"/>
      <c r="I110" s="8"/>
    </row>
    <row r="111" spans="1:9" x14ac:dyDescent="0.3">
      <c r="A111" s="11"/>
      <c r="B111" s="7"/>
      <c r="C111" s="7"/>
      <c r="D111" s="8"/>
      <c r="E111" s="8"/>
      <c r="F111" s="8"/>
      <c r="G111" s="8"/>
      <c r="H111" s="8"/>
      <c r="I111" s="8"/>
    </row>
    <row r="112" spans="1:9" x14ac:dyDescent="0.3">
      <c r="A112" s="11"/>
      <c r="B112" s="7"/>
      <c r="C112" s="7"/>
      <c r="D112" s="8"/>
      <c r="E112" s="8"/>
      <c r="F112" s="8"/>
      <c r="G112" s="8"/>
      <c r="H112" s="8"/>
      <c r="I112" s="8"/>
    </row>
    <row r="113" spans="1:9" x14ac:dyDescent="0.3">
      <c r="A113" s="11"/>
      <c r="B113" s="7"/>
      <c r="C113" s="7"/>
      <c r="D113" s="8"/>
      <c r="E113" s="8"/>
      <c r="F113" s="8"/>
      <c r="G113" s="8"/>
      <c r="H113" s="8"/>
      <c r="I113" s="8"/>
    </row>
    <row r="114" spans="1:9" x14ac:dyDescent="0.3">
      <c r="A114" s="11"/>
      <c r="B114" s="7"/>
      <c r="C114" s="7"/>
      <c r="D114" s="8"/>
      <c r="E114" s="8"/>
      <c r="F114" s="8"/>
      <c r="G114" s="8"/>
      <c r="H114" s="8"/>
      <c r="I114" s="8"/>
    </row>
    <row r="115" spans="1:9" x14ac:dyDescent="0.3">
      <c r="A115" s="11"/>
      <c r="B115" s="7"/>
      <c r="C115" s="7"/>
      <c r="D115" s="8"/>
      <c r="E115" s="8"/>
      <c r="F115" s="8"/>
      <c r="G115" s="8"/>
      <c r="H115" s="8"/>
      <c r="I115" s="8"/>
    </row>
    <row r="116" spans="1:9" x14ac:dyDescent="0.3">
      <c r="A116" s="11"/>
      <c r="B116" s="7"/>
      <c r="C116" s="7"/>
      <c r="D116" s="8"/>
      <c r="E116" s="8"/>
      <c r="F116" s="8"/>
      <c r="G116" s="8"/>
      <c r="H116" s="8"/>
      <c r="I116" s="8"/>
    </row>
    <row r="117" spans="1:9" x14ac:dyDescent="0.3">
      <c r="A117" s="11"/>
      <c r="B117" s="7"/>
      <c r="C117" s="7"/>
      <c r="D117" s="8"/>
      <c r="E117" s="8"/>
      <c r="F117" s="8"/>
      <c r="G117" s="8"/>
      <c r="H117" s="8"/>
      <c r="I117" s="8"/>
    </row>
    <row r="118" spans="1:9" x14ac:dyDescent="0.3">
      <c r="A118" s="11"/>
      <c r="B118" s="7"/>
      <c r="C118" s="7"/>
      <c r="D118" s="8"/>
      <c r="E118" s="8"/>
      <c r="F118" s="8"/>
      <c r="G118" s="8"/>
      <c r="H118" s="8"/>
      <c r="I118" s="8"/>
    </row>
    <row r="119" spans="1:9" x14ac:dyDescent="0.3">
      <c r="A119" s="11"/>
      <c r="B119" s="7"/>
      <c r="C119" s="7"/>
      <c r="D119" s="8"/>
      <c r="E119" s="8"/>
      <c r="F119" s="8"/>
      <c r="G119" s="8"/>
      <c r="H119" s="8"/>
      <c r="I119" s="8"/>
    </row>
    <row r="120" spans="1:9" x14ac:dyDescent="0.3">
      <c r="A120" s="11"/>
      <c r="B120" s="7"/>
      <c r="C120" s="7"/>
      <c r="D120" s="8"/>
      <c r="E120" s="8"/>
      <c r="F120" s="8"/>
      <c r="G120" s="8"/>
      <c r="H120" s="8"/>
      <c r="I120" s="8"/>
    </row>
    <row r="121" spans="1:9" x14ac:dyDescent="0.3">
      <c r="A121" s="11"/>
      <c r="B121" s="7"/>
      <c r="C121" s="7"/>
      <c r="D121" s="8"/>
      <c r="E121" s="8"/>
      <c r="F121" s="8"/>
      <c r="G121" s="8"/>
      <c r="H121" s="8"/>
      <c r="I121" s="8"/>
    </row>
    <row r="122" spans="1:9" x14ac:dyDescent="0.3">
      <c r="A122" s="11"/>
      <c r="B122" s="7"/>
      <c r="C122" s="7"/>
      <c r="D122" s="8"/>
      <c r="E122" s="8"/>
      <c r="F122" s="8"/>
      <c r="G122" s="8"/>
      <c r="H122" s="8"/>
      <c r="I122" s="8"/>
    </row>
    <row r="123" spans="1:9" x14ac:dyDescent="0.3">
      <c r="A123" s="11"/>
      <c r="B123" s="7"/>
      <c r="C123" s="7"/>
      <c r="D123" s="8"/>
      <c r="E123" s="8"/>
      <c r="F123" s="8"/>
      <c r="G123" s="8"/>
      <c r="H123" s="8"/>
      <c r="I123" s="8"/>
    </row>
    <row r="124" spans="1:9" x14ac:dyDescent="0.3">
      <c r="A124" s="11"/>
      <c r="B124" s="7"/>
      <c r="C124" s="7"/>
      <c r="D124" s="8"/>
      <c r="E124" s="8"/>
      <c r="F124" s="8"/>
      <c r="G124" s="8"/>
      <c r="H124" s="8"/>
      <c r="I124" s="8"/>
    </row>
    <row r="125" spans="1:9" x14ac:dyDescent="0.3">
      <c r="A125" s="11"/>
      <c r="B125" s="7"/>
      <c r="C125" s="7"/>
      <c r="D125" s="8"/>
      <c r="E125" s="8"/>
      <c r="F125" s="8"/>
      <c r="G125" s="8"/>
      <c r="H125" s="8"/>
      <c r="I125" s="8"/>
    </row>
    <row r="126" spans="1:9" x14ac:dyDescent="0.3">
      <c r="A126" s="11"/>
      <c r="B126" s="7"/>
      <c r="C126" s="7"/>
      <c r="D126" s="8"/>
      <c r="E126" s="8"/>
      <c r="F126" s="8"/>
      <c r="G126" s="8"/>
      <c r="H126" s="8"/>
      <c r="I126" s="8"/>
    </row>
    <row r="127" spans="1:9" x14ac:dyDescent="0.3">
      <c r="A127" s="11"/>
      <c r="B127" s="7"/>
      <c r="C127" s="7"/>
      <c r="D127" s="8"/>
      <c r="E127" s="8"/>
      <c r="F127" s="8"/>
      <c r="G127" s="8"/>
      <c r="H127" s="8"/>
      <c r="I127" s="8"/>
    </row>
    <row r="128" spans="1:9" x14ac:dyDescent="0.3">
      <c r="A128" s="11"/>
      <c r="B128" s="7"/>
      <c r="C128" s="7"/>
      <c r="D128" s="8"/>
      <c r="E128" s="8"/>
      <c r="F128" s="8"/>
      <c r="G128" s="8"/>
      <c r="H128" s="8"/>
      <c r="I128" s="8"/>
    </row>
    <row r="129" spans="1:9" x14ac:dyDescent="0.3">
      <c r="A129" s="11"/>
      <c r="B129" s="7"/>
      <c r="C129" s="7"/>
      <c r="D129" s="8"/>
      <c r="E129" s="8"/>
      <c r="F129" s="8"/>
      <c r="G129" s="8"/>
      <c r="H129" s="8"/>
      <c r="I129" s="8"/>
    </row>
    <row r="130" spans="1:9" x14ac:dyDescent="0.3">
      <c r="A130" s="11"/>
      <c r="B130" s="7"/>
      <c r="C130" s="7"/>
      <c r="D130" s="8"/>
      <c r="E130" s="8"/>
      <c r="F130" s="8"/>
      <c r="G130" s="8"/>
      <c r="H130" s="8"/>
      <c r="I130" s="8"/>
    </row>
    <row r="131" spans="1:9" x14ac:dyDescent="0.3">
      <c r="A131" s="11"/>
      <c r="B131" s="7"/>
      <c r="C131" s="7"/>
      <c r="D131" s="8"/>
      <c r="E131" s="8"/>
      <c r="F131" s="8"/>
      <c r="G131" s="8"/>
      <c r="H131" s="8"/>
      <c r="I131" s="8"/>
    </row>
    <row r="132" spans="1:9" x14ac:dyDescent="0.3">
      <c r="A132" s="11"/>
      <c r="B132" s="7"/>
      <c r="C132" s="7"/>
      <c r="D132" s="8"/>
      <c r="E132" s="8"/>
      <c r="F132" s="8"/>
      <c r="G132" s="8"/>
      <c r="H132" s="8"/>
      <c r="I132" s="8"/>
    </row>
    <row r="133" spans="1:9" x14ac:dyDescent="0.3">
      <c r="A133" s="11"/>
      <c r="B133" s="7"/>
      <c r="C133" s="7"/>
      <c r="D133" s="8"/>
      <c r="E133" s="8"/>
      <c r="F133" s="8"/>
      <c r="G133" s="8"/>
      <c r="H133" s="8"/>
      <c r="I133" s="8"/>
    </row>
    <row r="134" spans="1:9" x14ac:dyDescent="0.3">
      <c r="A134" s="11"/>
      <c r="B134" s="7"/>
      <c r="C134" s="7"/>
      <c r="D134" s="8"/>
      <c r="E134" s="8"/>
      <c r="F134" s="8"/>
      <c r="G134" s="8"/>
      <c r="H134" s="8"/>
      <c r="I134" s="8"/>
    </row>
    <row r="135" spans="1:9" x14ac:dyDescent="0.3">
      <c r="A135" s="11"/>
      <c r="B135" s="7"/>
      <c r="C135" s="7"/>
      <c r="D135" s="8"/>
      <c r="E135" s="8"/>
      <c r="F135" s="8"/>
      <c r="G135" s="8"/>
      <c r="H135" s="8"/>
      <c r="I135" s="8"/>
    </row>
    <row r="136" spans="1:9" x14ac:dyDescent="0.3">
      <c r="A136" s="11"/>
      <c r="B136" s="7"/>
      <c r="C136" s="7"/>
      <c r="D136" s="8"/>
      <c r="E136" s="8"/>
      <c r="F136" s="8"/>
      <c r="G136" s="8"/>
      <c r="H136" s="8"/>
      <c r="I136" s="8"/>
    </row>
    <row r="137" spans="1:9" x14ac:dyDescent="0.3">
      <c r="A137" s="11"/>
      <c r="B137" s="7"/>
      <c r="C137" s="7"/>
      <c r="D137" s="8"/>
      <c r="E137" s="8"/>
      <c r="F137" s="8"/>
      <c r="G137" s="8"/>
      <c r="H137" s="8"/>
      <c r="I137" s="8"/>
    </row>
    <row r="138" spans="1:9" x14ac:dyDescent="0.3">
      <c r="A138" s="11"/>
      <c r="B138" s="7"/>
      <c r="C138" s="7"/>
      <c r="D138" s="8"/>
      <c r="E138" s="8"/>
      <c r="F138" s="8"/>
      <c r="G138" s="8"/>
      <c r="H138" s="8"/>
      <c r="I138" s="8"/>
    </row>
    <row r="139" spans="1:9" x14ac:dyDescent="0.3">
      <c r="A139" s="11"/>
      <c r="B139" s="7"/>
      <c r="C139" s="7"/>
      <c r="D139" s="8"/>
      <c r="E139" s="8"/>
      <c r="F139" s="8"/>
      <c r="G139" s="8"/>
      <c r="H139" s="8"/>
      <c r="I139" s="8"/>
    </row>
    <row r="140" spans="1:9" x14ac:dyDescent="0.3">
      <c r="A140" s="11"/>
      <c r="B140" s="7"/>
      <c r="C140" s="7"/>
      <c r="D140" s="8"/>
      <c r="E140" s="8"/>
      <c r="F140" s="8"/>
      <c r="G140" s="8"/>
      <c r="H140" s="8"/>
      <c r="I140" s="8"/>
    </row>
    <row r="141" spans="1:9" x14ac:dyDescent="0.3">
      <c r="A141" s="11"/>
      <c r="B141" s="7"/>
      <c r="C141" s="7"/>
      <c r="D141" s="8"/>
      <c r="E141" s="8"/>
      <c r="F141" s="8"/>
      <c r="G141" s="8"/>
      <c r="H141" s="8"/>
      <c r="I141" s="8"/>
    </row>
    <row r="142" spans="1:9" x14ac:dyDescent="0.3">
      <c r="A142" s="11"/>
      <c r="B142" s="7"/>
      <c r="C142" s="7"/>
      <c r="D142" s="8"/>
      <c r="E142" s="8"/>
      <c r="F142" s="8"/>
      <c r="G142" s="8"/>
      <c r="H142" s="8"/>
      <c r="I142" s="8"/>
    </row>
    <row r="143" spans="1:9" x14ac:dyDescent="0.3">
      <c r="A143" s="11"/>
      <c r="B143" s="7"/>
      <c r="C143" s="7"/>
      <c r="D143" s="8"/>
      <c r="E143" s="8"/>
      <c r="F143" s="8"/>
      <c r="G143" s="8"/>
      <c r="H143" s="8"/>
      <c r="I143" s="8"/>
    </row>
    <row r="144" spans="1:9" x14ac:dyDescent="0.3">
      <c r="A144" s="11"/>
      <c r="B144" s="7"/>
      <c r="C144" s="7"/>
      <c r="D144" s="8"/>
      <c r="E144" s="8"/>
      <c r="F144" s="8"/>
      <c r="G144" s="8"/>
      <c r="H144" s="8"/>
      <c r="I144" s="8"/>
    </row>
    <row r="145" spans="1:9" x14ac:dyDescent="0.3">
      <c r="A145" s="11"/>
      <c r="B145" s="7"/>
      <c r="C145" s="7"/>
      <c r="D145" s="8"/>
      <c r="E145" s="8"/>
      <c r="F145" s="8"/>
      <c r="G145" s="8"/>
      <c r="H145" s="8"/>
      <c r="I145" s="8"/>
    </row>
    <row r="146" spans="1:9" x14ac:dyDescent="0.3">
      <c r="A146" s="11"/>
      <c r="B146" s="7"/>
      <c r="C146" s="7"/>
      <c r="D146" s="8"/>
      <c r="E146" s="8"/>
      <c r="F146" s="8"/>
      <c r="G146" s="8"/>
      <c r="H146" s="8"/>
      <c r="I146" s="8"/>
    </row>
    <row r="147" spans="1:9" x14ac:dyDescent="0.3">
      <c r="A147" s="11"/>
      <c r="B147" s="7"/>
      <c r="C147" s="7"/>
      <c r="D147" s="8"/>
      <c r="E147" s="8"/>
      <c r="F147" s="8"/>
      <c r="G147" s="8"/>
      <c r="H147" s="8"/>
      <c r="I147" s="8"/>
    </row>
    <row r="148" spans="1:9" x14ac:dyDescent="0.3">
      <c r="A148" s="11"/>
      <c r="B148" s="7"/>
      <c r="C148" s="7"/>
      <c r="D148" s="8"/>
      <c r="E148" s="8"/>
      <c r="F148" s="8"/>
      <c r="G148" s="8"/>
      <c r="H148" s="8"/>
      <c r="I148" s="8"/>
    </row>
    <row r="149" spans="1:9" x14ac:dyDescent="0.3">
      <c r="A149" s="11"/>
      <c r="B149" s="7"/>
      <c r="C149" s="7"/>
      <c r="D149" s="8"/>
      <c r="E149" s="8"/>
      <c r="F149" s="8"/>
      <c r="G149" s="8"/>
      <c r="H149" s="8"/>
      <c r="I149" s="8"/>
    </row>
    <row r="150" spans="1:9" x14ac:dyDescent="0.3">
      <c r="A150" s="11"/>
      <c r="B150" s="7"/>
      <c r="C150" s="7"/>
      <c r="D150" s="8"/>
      <c r="E150" s="8"/>
      <c r="F150" s="8"/>
      <c r="G150" s="8"/>
      <c r="H150" s="8"/>
      <c r="I150" s="8"/>
    </row>
    <row r="151" spans="1:9" x14ac:dyDescent="0.3">
      <c r="A151" s="11"/>
      <c r="B151" s="7"/>
      <c r="C151" s="7"/>
      <c r="D151" s="8"/>
      <c r="E151" s="8"/>
      <c r="F151" s="8"/>
      <c r="G151" s="8"/>
      <c r="H151" s="8"/>
      <c r="I151" s="8"/>
    </row>
    <row r="152" spans="1:9" x14ac:dyDescent="0.3">
      <c r="A152" s="11"/>
      <c r="B152" s="7"/>
      <c r="C152" s="7"/>
      <c r="D152" s="8"/>
      <c r="E152" s="8"/>
      <c r="F152" s="8"/>
      <c r="G152" s="8"/>
      <c r="H152" s="8"/>
      <c r="I152" s="8"/>
    </row>
    <row r="153" spans="1:9" x14ac:dyDescent="0.3">
      <c r="A153" s="11"/>
      <c r="B153" s="7"/>
      <c r="C153" s="7"/>
      <c r="D153" s="8"/>
      <c r="E153" s="8"/>
      <c r="F153" s="8"/>
      <c r="G153" s="8"/>
      <c r="H153" s="8"/>
      <c r="I153" s="8"/>
    </row>
    <row r="154" spans="1:9" x14ac:dyDescent="0.3">
      <c r="A154" s="11"/>
      <c r="B154" s="7"/>
      <c r="C154" s="7"/>
      <c r="D154" s="8"/>
      <c r="E154" s="8"/>
      <c r="F154" s="8"/>
      <c r="G154" s="8"/>
      <c r="H154" s="8"/>
      <c r="I154" s="8"/>
    </row>
    <row r="155" spans="1:9" x14ac:dyDescent="0.3">
      <c r="A155" s="11"/>
      <c r="B155" s="7"/>
      <c r="C155" s="7"/>
      <c r="D155" s="8"/>
      <c r="E155" s="8"/>
      <c r="F155" s="8"/>
      <c r="G155" s="8"/>
      <c r="H155" s="8"/>
      <c r="I155" s="8"/>
    </row>
    <row r="156" spans="1:9" x14ac:dyDescent="0.3">
      <c r="A156" s="11"/>
      <c r="B156" s="7"/>
      <c r="C156" s="7"/>
      <c r="D156" s="8"/>
      <c r="E156" s="8"/>
      <c r="F156" s="8"/>
      <c r="G156" s="8"/>
      <c r="H156" s="8"/>
      <c r="I156" s="8"/>
    </row>
    <row r="157" spans="1:9" x14ac:dyDescent="0.3">
      <c r="A157" s="11"/>
      <c r="B157" s="7"/>
      <c r="C157" s="7"/>
      <c r="D157" s="8"/>
      <c r="E157" s="8"/>
      <c r="F157" s="8"/>
      <c r="G157" s="8"/>
      <c r="H157" s="8"/>
      <c r="I157" s="8"/>
    </row>
    <row r="158" spans="1:9" x14ac:dyDescent="0.3">
      <c r="A158" s="11"/>
      <c r="B158" s="7"/>
      <c r="C158" s="7"/>
      <c r="D158" s="8"/>
      <c r="E158" s="8"/>
      <c r="F158" s="8"/>
      <c r="G158" s="8"/>
      <c r="H158" s="8"/>
      <c r="I158" s="8"/>
    </row>
    <row r="159" spans="1:9" x14ac:dyDescent="0.3">
      <c r="A159" s="11"/>
      <c r="B159" s="7"/>
      <c r="C159" s="7"/>
      <c r="D159" s="8"/>
      <c r="E159" s="8"/>
      <c r="F159" s="8"/>
      <c r="G159" s="8"/>
      <c r="H159" s="8"/>
      <c r="I159" s="8"/>
    </row>
    <row r="160" spans="1:9" x14ac:dyDescent="0.3">
      <c r="A160" s="11"/>
      <c r="B160" s="7"/>
      <c r="C160" s="7"/>
      <c r="D160" s="8"/>
      <c r="E160" s="8"/>
      <c r="F160" s="8"/>
      <c r="G160" s="8"/>
      <c r="H160" s="8"/>
      <c r="I160" s="8"/>
    </row>
    <row r="161" spans="1:9" x14ac:dyDescent="0.3">
      <c r="A161" s="11"/>
      <c r="B161" s="7"/>
      <c r="C161" s="7"/>
      <c r="D161" s="8"/>
      <c r="E161" s="8"/>
      <c r="F161" s="8"/>
      <c r="G161" s="8"/>
      <c r="H161" s="8"/>
      <c r="I161" s="8"/>
    </row>
    <row r="162" spans="1:9" x14ac:dyDescent="0.3">
      <c r="A162" s="11"/>
      <c r="B162" s="7"/>
      <c r="C162" s="7"/>
      <c r="D162" s="8"/>
      <c r="E162" s="8"/>
      <c r="F162" s="8"/>
      <c r="G162" s="8"/>
      <c r="H162" s="8"/>
      <c r="I162" s="8"/>
    </row>
    <row r="163" spans="1:9" x14ac:dyDescent="0.3">
      <c r="A163" s="11"/>
      <c r="B163" s="7"/>
      <c r="C163" s="7"/>
      <c r="D163" s="8"/>
      <c r="E163" s="8"/>
      <c r="F163" s="8"/>
      <c r="G163" s="8"/>
      <c r="H163" s="8"/>
      <c r="I163" s="8"/>
    </row>
    <row r="164" spans="1:9" x14ac:dyDescent="0.3">
      <c r="A164" s="11"/>
      <c r="B164" s="7"/>
      <c r="C164" s="7"/>
      <c r="D164" s="8"/>
      <c r="E164" s="8"/>
      <c r="F164" s="8"/>
      <c r="G164" s="8"/>
      <c r="H164" s="8"/>
      <c r="I164" s="8"/>
    </row>
    <row r="165" spans="1:9" x14ac:dyDescent="0.3">
      <c r="A165" s="11"/>
      <c r="B165" s="7"/>
      <c r="C165" s="7"/>
      <c r="D165" s="8"/>
      <c r="E165" s="8"/>
      <c r="F165" s="8"/>
      <c r="G165" s="8"/>
      <c r="H165" s="8"/>
      <c r="I165" s="8"/>
    </row>
    <row r="166" spans="1:9" x14ac:dyDescent="0.3">
      <c r="A166" s="11"/>
      <c r="B166" s="7"/>
      <c r="C166" s="7"/>
      <c r="D166" s="8"/>
      <c r="E166" s="8"/>
      <c r="F166" s="8"/>
      <c r="G166" s="8"/>
      <c r="H166" s="8"/>
      <c r="I166" s="8"/>
    </row>
    <row r="167" spans="1:9" x14ac:dyDescent="0.3">
      <c r="A167" s="11"/>
      <c r="B167" s="7"/>
      <c r="C167" s="7"/>
      <c r="D167" s="8"/>
      <c r="E167" s="8"/>
      <c r="F167" s="8"/>
      <c r="G167" s="8"/>
      <c r="H167" s="8"/>
      <c r="I167" s="8"/>
    </row>
    <row r="168" spans="1:9" x14ac:dyDescent="0.3">
      <c r="A168" s="11"/>
      <c r="B168" s="7"/>
      <c r="C168" s="7"/>
      <c r="D168" s="8"/>
      <c r="E168" s="8"/>
      <c r="F168" s="8"/>
      <c r="G168" s="8"/>
      <c r="H168" s="8"/>
      <c r="I168" s="8"/>
    </row>
    <row r="169" spans="1:9" x14ac:dyDescent="0.3">
      <c r="A169" s="11"/>
      <c r="B169" s="7"/>
      <c r="C169" s="7"/>
      <c r="D169" s="8"/>
      <c r="E169" s="8"/>
      <c r="F169" s="8"/>
      <c r="G169" s="8"/>
      <c r="H169" s="8"/>
      <c r="I169" s="8"/>
    </row>
    <row r="170" spans="1:9" x14ac:dyDescent="0.3">
      <c r="A170" s="11"/>
      <c r="B170" s="7"/>
      <c r="C170" s="7"/>
      <c r="D170" s="8"/>
      <c r="E170" s="8"/>
      <c r="F170" s="8"/>
      <c r="G170" s="8"/>
      <c r="H170" s="8"/>
      <c r="I170" s="8"/>
    </row>
    <row r="171" spans="1:9" x14ac:dyDescent="0.3">
      <c r="A171" s="11"/>
      <c r="B171" s="7"/>
      <c r="C171" s="7"/>
      <c r="D171" s="8"/>
      <c r="E171" s="8"/>
      <c r="F171" s="8"/>
      <c r="G171" s="8"/>
      <c r="H171" s="8"/>
      <c r="I171" s="8"/>
    </row>
    <row r="172" spans="1:9" x14ac:dyDescent="0.3">
      <c r="A172" s="11"/>
      <c r="B172" s="7"/>
      <c r="C172" s="7"/>
      <c r="D172" s="8"/>
      <c r="E172" s="8"/>
      <c r="F172" s="8"/>
      <c r="G172" s="8"/>
      <c r="H172" s="8"/>
      <c r="I172" s="8"/>
    </row>
    <row r="173" spans="1:9" x14ac:dyDescent="0.3">
      <c r="A173" s="11"/>
      <c r="B173" s="7"/>
      <c r="C173" s="7"/>
      <c r="D173" s="8"/>
      <c r="E173" s="8"/>
      <c r="F173" s="8"/>
      <c r="G173" s="8"/>
      <c r="H173" s="8"/>
      <c r="I173" s="8"/>
    </row>
    <row r="174" spans="1:9" x14ac:dyDescent="0.3">
      <c r="A174" s="11"/>
      <c r="B174" s="7"/>
      <c r="C174" s="7"/>
      <c r="D174" s="8"/>
      <c r="E174" s="8"/>
      <c r="F174" s="8"/>
      <c r="G174" s="8"/>
      <c r="H174" s="8"/>
      <c r="I174" s="8"/>
    </row>
    <row r="175" spans="1:9" x14ac:dyDescent="0.3">
      <c r="A175" s="11"/>
      <c r="B175" s="7"/>
      <c r="C175" s="7"/>
      <c r="D175" s="8"/>
      <c r="E175" s="8"/>
      <c r="F175" s="8"/>
      <c r="G175" s="8"/>
      <c r="H175" s="8"/>
      <c r="I175" s="8"/>
    </row>
    <row r="176" spans="1:9" x14ac:dyDescent="0.3">
      <c r="A176" s="11"/>
      <c r="B176" s="7"/>
      <c r="C176" s="7"/>
      <c r="D176" s="8"/>
      <c r="E176" s="8"/>
      <c r="F176" s="8"/>
      <c r="G176" s="8"/>
      <c r="H176" s="8"/>
      <c r="I176" s="8"/>
    </row>
    <row r="177" spans="1:9" x14ac:dyDescent="0.3">
      <c r="A177" s="11"/>
      <c r="B177" s="7"/>
      <c r="C177" s="7"/>
      <c r="D177" s="8"/>
      <c r="E177" s="8"/>
      <c r="F177" s="8"/>
      <c r="G177" s="8"/>
      <c r="H177" s="8"/>
      <c r="I177" s="8"/>
    </row>
    <row r="178" spans="1:9" x14ac:dyDescent="0.3">
      <c r="A178" s="11"/>
      <c r="B178" s="7"/>
      <c r="C178" s="7"/>
      <c r="D178" s="8"/>
      <c r="E178" s="8"/>
      <c r="F178" s="8"/>
      <c r="G178" s="8"/>
      <c r="H178" s="8"/>
      <c r="I178" s="8"/>
    </row>
    <row r="179" spans="1:9" x14ac:dyDescent="0.3">
      <c r="A179" s="11"/>
      <c r="B179" s="7"/>
      <c r="C179" s="7"/>
      <c r="D179" s="8"/>
      <c r="E179" s="8"/>
      <c r="F179" s="8"/>
      <c r="G179" s="8"/>
      <c r="H179" s="8"/>
      <c r="I179" s="8"/>
    </row>
    <row r="180" spans="1:9" x14ac:dyDescent="0.3">
      <c r="A180" s="11"/>
      <c r="B180" s="7"/>
      <c r="C180" s="7"/>
      <c r="D180" s="8"/>
      <c r="E180" s="8"/>
      <c r="F180" s="8"/>
      <c r="G180" s="8"/>
      <c r="H180" s="8"/>
      <c r="I180" s="8"/>
    </row>
    <row r="181" spans="1:9" x14ac:dyDescent="0.3">
      <c r="A181" s="11"/>
      <c r="B181" s="7"/>
      <c r="C181" s="7"/>
      <c r="D181" s="8"/>
      <c r="E181" s="8"/>
      <c r="F181" s="8"/>
      <c r="G181" s="8"/>
      <c r="H181" s="8"/>
      <c r="I181" s="8"/>
    </row>
    <row r="182" spans="1:9" x14ac:dyDescent="0.3">
      <c r="A182" s="11"/>
      <c r="B182" s="7"/>
      <c r="C182" s="7"/>
      <c r="D182" s="8"/>
      <c r="E182" s="8"/>
      <c r="F182" s="8"/>
      <c r="G182" s="8"/>
      <c r="H182" s="8"/>
      <c r="I182" s="8"/>
    </row>
    <row r="183" spans="1:9" x14ac:dyDescent="0.3">
      <c r="A183" s="11"/>
      <c r="B183" s="7"/>
      <c r="C183" s="7"/>
      <c r="D183" s="8"/>
      <c r="E183" s="8"/>
      <c r="F183" s="8"/>
      <c r="G183" s="8"/>
      <c r="H183" s="8"/>
      <c r="I183" s="8"/>
    </row>
    <row r="184" spans="1:9" x14ac:dyDescent="0.3">
      <c r="A184" s="11"/>
      <c r="B184" s="7"/>
      <c r="C184" s="7"/>
      <c r="D184" s="8"/>
      <c r="E184" s="8"/>
      <c r="F184" s="8"/>
      <c r="G184" s="8"/>
      <c r="H184" s="8"/>
      <c r="I184" s="8"/>
    </row>
    <row r="185" spans="1:9" x14ac:dyDescent="0.3">
      <c r="A185" s="11"/>
      <c r="B185" s="7"/>
      <c r="C185" s="7"/>
      <c r="D185" s="8"/>
      <c r="E185" s="8"/>
      <c r="F185" s="8"/>
      <c r="G185" s="8"/>
      <c r="H185" s="8"/>
      <c r="I185" s="8"/>
    </row>
    <row r="186" spans="1:9" x14ac:dyDescent="0.3">
      <c r="A186" s="11"/>
      <c r="B186" s="7"/>
      <c r="C186" s="7"/>
      <c r="D186" s="8"/>
      <c r="E186" s="8"/>
      <c r="F186" s="8"/>
      <c r="G186" s="8"/>
      <c r="H186" s="8"/>
      <c r="I186" s="8"/>
    </row>
    <row r="187" spans="1:9" x14ac:dyDescent="0.3">
      <c r="A187" s="11"/>
      <c r="B187" s="7"/>
      <c r="C187" s="7"/>
      <c r="D187" s="8"/>
      <c r="E187" s="8"/>
      <c r="F187" s="8"/>
      <c r="G187" s="8"/>
      <c r="H187" s="8"/>
      <c r="I187" s="8"/>
    </row>
    <row r="188" spans="1:9" x14ac:dyDescent="0.3">
      <c r="A188" s="11"/>
      <c r="B188" s="7"/>
      <c r="C188" s="7"/>
      <c r="D188" s="8"/>
      <c r="E188" s="8"/>
      <c r="F188" s="8"/>
      <c r="G188" s="8"/>
      <c r="H188" s="8"/>
      <c r="I188" s="8"/>
    </row>
    <row r="189" spans="1:9" x14ac:dyDescent="0.3">
      <c r="A189" s="11"/>
      <c r="B189" s="7"/>
      <c r="C189" s="7"/>
      <c r="D189" s="8"/>
      <c r="E189" s="8"/>
      <c r="F189" s="8"/>
      <c r="G189" s="8"/>
      <c r="H189" s="8"/>
      <c r="I189" s="8"/>
    </row>
    <row r="190" spans="1:9" x14ac:dyDescent="0.3">
      <c r="A190" s="11"/>
      <c r="B190" s="7"/>
      <c r="C190" s="7"/>
      <c r="D190" s="8"/>
      <c r="E190" s="8"/>
      <c r="F190" s="8"/>
      <c r="G190" s="8"/>
      <c r="H190" s="8"/>
      <c r="I190" s="8"/>
    </row>
    <row r="191" spans="1:9" x14ac:dyDescent="0.3">
      <c r="A191" s="11"/>
      <c r="B191" s="7"/>
      <c r="C191" s="7"/>
      <c r="D191" s="8"/>
      <c r="E191" s="8"/>
      <c r="F191" s="8"/>
      <c r="G191" s="8"/>
      <c r="H191" s="8"/>
      <c r="I191" s="8"/>
    </row>
    <row r="192" spans="1:9" x14ac:dyDescent="0.3">
      <c r="A192" s="11"/>
      <c r="B192" s="7"/>
      <c r="C192" s="7"/>
      <c r="D192" s="8"/>
      <c r="E192" s="8"/>
      <c r="F192" s="8"/>
      <c r="G192" s="8"/>
      <c r="H192" s="8"/>
      <c r="I192" s="8"/>
    </row>
    <row r="193" spans="1:9" x14ac:dyDescent="0.3">
      <c r="A193" s="11"/>
      <c r="B193" s="7"/>
      <c r="C193" s="7"/>
      <c r="D193" s="8"/>
      <c r="E193" s="8"/>
      <c r="F193" s="8"/>
      <c r="G193" s="8"/>
      <c r="H193" s="8"/>
      <c r="I193" s="8"/>
    </row>
    <row r="194" spans="1:9" x14ac:dyDescent="0.3">
      <c r="A194" s="11"/>
      <c r="B194" s="7"/>
      <c r="C194" s="7"/>
      <c r="D194" s="8"/>
      <c r="E194" s="8"/>
      <c r="F194" s="8"/>
      <c r="G194" s="8"/>
      <c r="H194" s="8"/>
      <c r="I194" s="8"/>
    </row>
    <row r="195" spans="1:9" x14ac:dyDescent="0.3">
      <c r="A195" s="11"/>
      <c r="B195" s="7"/>
      <c r="C195" s="7"/>
      <c r="D195" s="8"/>
      <c r="E195" s="8"/>
      <c r="F195" s="8"/>
      <c r="G195" s="8"/>
      <c r="H195" s="8"/>
      <c r="I195" s="8"/>
    </row>
    <row r="196" spans="1:9" x14ac:dyDescent="0.3">
      <c r="A196" s="11"/>
      <c r="B196" s="7"/>
      <c r="C196" s="7"/>
      <c r="D196" s="8"/>
      <c r="E196" s="8"/>
      <c r="F196" s="8"/>
      <c r="G196" s="8"/>
      <c r="H196" s="8"/>
      <c r="I196" s="8"/>
    </row>
    <row r="197" spans="1:9" x14ac:dyDescent="0.3">
      <c r="A197" s="11"/>
      <c r="B197" s="7"/>
      <c r="C197" s="7"/>
      <c r="D197" s="8"/>
      <c r="E197" s="8"/>
      <c r="F197" s="8"/>
      <c r="G197" s="8"/>
      <c r="H197" s="8"/>
      <c r="I197" s="8"/>
    </row>
    <row r="198" spans="1:9" x14ac:dyDescent="0.3">
      <c r="A198" s="11"/>
      <c r="B198" s="7"/>
      <c r="C198" s="7"/>
      <c r="D198" s="8"/>
      <c r="E198" s="8"/>
      <c r="F198" s="8"/>
      <c r="G198" s="8"/>
      <c r="H198" s="8"/>
      <c r="I198" s="8"/>
    </row>
    <row r="199" spans="1:9" x14ac:dyDescent="0.3">
      <c r="A199" s="11"/>
      <c r="B199" s="7"/>
      <c r="C199" s="7"/>
      <c r="D199" s="8"/>
      <c r="E199" s="8"/>
      <c r="F199" s="8"/>
      <c r="G199" s="8"/>
      <c r="H199" s="8"/>
      <c r="I199" s="8"/>
    </row>
    <row r="200" spans="1:9" x14ac:dyDescent="0.3">
      <c r="A200" s="11"/>
      <c r="B200" s="7"/>
      <c r="C200" s="7"/>
      <c r="D200" s="8"/>
      <c r="E200" s="8"/>
      <c r="F200" s="8"/>
      <c r="G200" s="8"/>
      <c r="H200" s="8"/>
      <c r="I200" s="8"/>
    </row>
    <row r="201" spans="1:9" x14ac:dyDescent="0.3">
      <c r="A201" s="11"/>
      <c r="B201" s="7"/>
      <c r="C201" s="7"/>
      <c r="D201" s="8"/>
      <c r="E201" s="8"/>
      <c r="F201" s="8"/>
      <c r="G201" s="8"/>
      <c r="H201" s="8"/>
      <c r="I201" s="8"/>
    </row>
    <row r="202" spans="1:9" x14ac:dyDescent="0.3">
      <c r="A202" s="11"/>
      <c r="B202" s="7"/>
      <c r="C202" s="7"/>
      <c r="D202" s="8"/>
      <c r="E202" s="8"/>
      <c r="F202" s="8"/>
      <c r="G202" s="8"/>
      <c r="H202" s="8"/>
      <c r="I202" s="8"/>
    </row>
    <row r="203" spans="1:9" x14ac:dyDescent="0.3">
      <c r="A203" s="11"/>
      <c r="B203" s="7"/>
      <c r="C203" s="7"/>
      <c r="D203" s="8"/>
      <c r="E203" s="8"/>
      <c r="F203" s="8"/>
      <c r="G203" s="8"/>
      <c r="H203" s="8"/>
      <c r="I203" s="8"/>
    </row>
    <row r="204" spans="1:9" x14ac:dyDescent="0.3">
      <c r="A204" s="11"/>
      <c r="B204" s="7"/>
      <c r="C204" s="7"/>
      <c r="D204" s="8"/>
      <c r="E204" s="8"/>
      <c r="F204" s="8"/>
      <c r="G204" s="8"/>
      <c r="H204" s="8"/>
      <c r="I204" s="8"/>
    </row>
    <row r="205" spans="1:9" x14ac:dyDescent="0.3">
      <c r="A205" s="11"/>
      <c r="B205" s="7"/>
      <c r="C205" s="7"/>
      <c r="D205" s="8"/>
      <c r="E205" s="8"/>
      <c r="F205" s="8"/>
      <c r="G205" s="8"/>
      <c r="H205" s="8"/>
      <c r="I205" s="8"/>
    </row>
    <row r="206" spans="1:9" x14ac:dyDescent="0.3">
      <c r="A206" s="11"/>
      <c r="B206" s="7"/>
      <c r="C206" s="7"/>
      <c r="D206" s="8"/>
      <c r="E206" s="8"/>
      <c r="F206" s="8"/>
      <c r="G206" s="8"/>
      <c r="H206" s="8"/>
      <c r="I206" s="8"/>
    </row>
    <row r="207" spans="1:9" x14ac:dyDescent="0.3">
      <c r="A207" s="11"/>
      <c r="B207" s="7"/>
      <c r="C207" s="7"/>
      <c r="D207" s="8"/>
      <c r="E207" s="8"/>
      <c r="F207" s="8"/>
      <c r="G207" s="8"/>
      <c r="H207" s="8"/>
      <c r="I207" s="8"/>
    </row>
    <row r="208" spans="1:9" x14ac:dyDescent="0.3">
      <c r="A208" s="11"/>
      <c r="B208" s="7"/>
      <c r="C208" s="7"/>
      <c r="D208" s="8"/>
      <c r="E208" s="8"/>
      <c r="F208" s="8"/>
      <c r="G208" s="8"/>
      <c r="H208" s="8"/>
      <c r="I208" s="8"/>
    </row>
    <row r="209" spans="1:9" x14ac:dyDescent="0.3">
      <c r="A209" s="11"/>
      <c r="B209" s="7"/>
      <c r="C209" s="7"/>
      <c r="D209" s="8"/>
      <c r="E209" s="8"/>
      <c r="F209" s="8"/>
      <c r="G209" s="8"/>
      <c r="H209" s="8"/>
      <c r="I209" s="8"/>
    </row>
    <row r="210" spans="1:9" x14ac:dyDescent="0.3">
      <c r="A210" s="11"/>
      <c r="B210" s="7"/>
      <c r="C210" s="7"/>
      <c r="D210" s="8"/>
      <c r="E210" s="8"/>
      <c r="F210" s="8"/>
      <c r="G210" s="8"/>
      <c r="H210" s="8"/>
      <c r="I210" s="8"/>
    </row>
    <row r="211" spans="1:9" x14ac:dyDescent="0.3">
      <c r="A211" s="11"/>
      <c r="B211" s="7"/>
      <c r="C211" s="7"/>
      <c r="D211" s="8"/>
      <c r="E211" s="8"/>
      <c r="F211" s="8"/>
      <c r="G211" s="8"/>
      <c r="H211" s="8"/>
      <c r="I211" s="8"/>
    </row>
    <row r="212" spans="1:9" x14ac:dyDescent="0.3">
      <c r="A212" s="11"/>
      <c r="B212" s="7"/>
      <c r="C212" s="7"/>
      <c r="D212" s="8"/>
      <c r="E212" s="8"/>
      <c r="F212" s="8"/>
      <c r="G212" s="8"/>
      <c r="H212" s="8"/>
      <c r="I212" s="8"/>
    </row>
    <row r="213" spans="1:9" x14ac:dyDescent="0.3">
      <c r="A213" s="11"/>
      <c r="B213" s="7"/>
      <c r="C213" s="7"/>
      <c r="D213" s="8"/>
      <c r="E213" s="8"/>
      <c r="F213" s="8"/>
      <c r="G213" s="8"/>
      <c r="H213" s="8"/>
      <c r="I213" s="8"/>
    </row>
    <row r="214" spans="1:9" x14ac:dyDescent="0.3">
      <c r="A214" s="11"/>
      <c r="B214" s="7"/>
      <c r="C214" s="7"/>
      <c r="D214" s="8"/>
      <c r="E214" s="8"/>
      <c r="F214" s="8"/>
      <c r="G214" s="8"/>
      <c r="H214" s="8"/>
      <c r="I214" s="8"/>
    </row>
    <row r="215" spans="1:9" x14ac:dyDescent="0.3">
      <c r="A215" s="11"/>
      <c r="B215" s="7"/>
      <c r="C215" s="7"/>
      <c r="D215" s="8"/>
      <c r="E215" s="8"/>
      <c r="F215" s="8"/>
      <c r="G215" s="8"/>
      <c r="H215" s="8"/>
      <c r="I215" s="8"/>
    </row>
    <row r="216" spans="1:9" x14ac:dyDescent="0.3">
      <c r="A216" s="11"/>
      <c r="B216" s="7"/>
      <c r="C216" s="7"/>
      <c r="D216" s="8"/>
      <c r="E216" s="8"/>
      <c r="F216" s="8"/>
      <c r="G216" s="8"/>
      <c r="H216" s="8"/>
      <c r="I216"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73052-82DA-4DA6-8B80-1065FF27250F}">
  <dimension ref="A1:E52"/>
  <sheetViews>
    <sheetView workbookViewId="0">
      <pane ySplit="6" topLeftCell="A13" activePane="bottomLeft" state="frozen"/>
      <selection pane="bottomLeft" activeCell="H35" sqref="H35"/>
    </sheetView>
  </sheetViews>
  <sheetFormatPr defaultRowHeight="12" x14ac:dyDescent="0.3"/>
  <cols>
    <col min="1" max="1" width="9.6328125" style="1" customWidth="1"/>
    <col min="2" max="2" width="7.453125" style="1" customWidth="1"/>
    <col min="3" max="3" width="13.81640625" style="3" customWidth="1"/>
    <col min="4" max="16384" width="8.7265625" style="1"/>
  </cols>
  <sheetData>
    <row r="1" spans="1:5" x14ac:dyDescent="0.3">
      <c r="A1" s="1" t="s">
        <v>8</v>
      </c>
    </row>
    <row r="6" spans="1:5" s="4" customFormat="1" x14ac:dyDescent="0.3">
      <c r="A6" s="4" t="s">
        <v>5</v>
      </c>
      <c r="B6" s="4" t="s">
        <v>1</v>
      </c>
      <c r="C6" s="5" t="s">
        <v>6</v>
      </c>
      <c r="D6" s="4" t="s">
        <v>12</v>
      </c>
      <c r="E6" s="4" t="s">
        <v>13</v>
      </c>
    </row>
    <row r="7" spans="1:5" x14ac:dyDescent="0.3">
      <c r="A7" s="11">
        <v>45322</v>
      </c>
      <c r="B7" s="7" t="s">
        <v>3</v>
      </c>
      <c r="C7" s="9">
        <v>61261</v>
      </c>
      <c r="D7" s="1">
        <f>YEAR(A7)</f>
        <v>2024</v>
      </c>
      <c r="E7" s="1">
        <f>MONTH(A7)</f>
        <v>1</v>
      </c>
    </row>
    <row r="8" spans="1:5" x14ac:dyDescent="0.3">
      <c r="A8" s="11">
        <v>45322</v>
      </c>
      <c r="B8" s="7" t="s">
        <v>4</v>
      </c>
      <c r="C8" s="9">
        <v>35978</v>
      </c>
      <c r="D8" s="1">
        <f t="shared" ref="D8:D52" si="0">YEAR(A8)</f>
        <v>2024</v>
      </c>
      <c r="E8" s="1">
        <f t="shared" ref="E8:E52" si="1">MONTH(A8)</f>
        <v>1</v>
      </c>
    </row>
    <row r="9" spans="1:5" x14ac:dyDescent="0.3">
      <c r="A9" s="11">
        <v>45351</v>
      </c>
      <c r="B9" s="7" t="s">
        <v>3</v>
      </c>
      <c r="C9" s="9">
        <v>61640</v>
      </c>
      <c r="D9" s="1">
        <f t="shared" si="0"/>
        <v>2024</v>
      </c>
      <c r="E9" s="1">
        <f t="shared" si="1"/>
        <v>2</v>
      </c>
    </row>
    <row r="10" spans="1:5" x14ac:dyDescent="0.3">
      <c r="A10" s="11">
        <v>45351</v>
      </c>
      <c r="B10" s="7" t="s">
        <v>4</v>
      </c>
      <c r="C10" s="9">
        <v>36202</v>
      </c>
      <c r="D10" s="1">
        <f t="shared" si="0"/>
        <v>2024</v>
      </c>
      <c r="E10" s="1">
        <f t="shared" si="1"/>
        <v>2</v>
      </c>
    </row>
    <row r="11" spans="1:5" x14ac:dyDescent="0.3">
      <c r="A11" s="11">
        <v>45382</v>
      </c>
      <c r="B11" s="7" t="s">
        <v>3</v>
      </c>
      <c r="C11" s="9">
        <v>61170</v>
      </c>
      <c r="D11" s="1">
        <f t="shared" si="0"/>
        <v>2024</v>
      </c>
      <c r="E11" s="1">
        <f t="shared" si="1"/>
        <v>3</v>
      </c>
    </row>
    <row r="12" spans="1:5" x14ac:dyDescent="0.3">
      <c r="A12" s="11">
        <v>45382</v>
      </c>
      <c r="B12" s="7" t="s">
        <v>4</v>
      </c>
      <c r="C12" s="9">
        <v>35925</v>
      </c>
      <c r="D12" s="1">
        <f t="shared" si="0"/>
        <v>2024</v>
      </c>
      <c r="E12" s="1">
        <f t="shared" si="1"/>
        <v>3</v>
      </c>
    </row>
    <row r="13" spans="1:5" x14ac:dyDescent="0.3">
      <c r="A13" s="11">
        <v>45412</v>
      </c>
      <c r="B13" s="7" t="s">
        <v>3</v>
      </c>
      <c r="C13" s="9">
        <v>61337</v>
      </c>
      <c r="D13" s="1">
        <f t="shared" si="0"/>
        <v>2024</v>
      </c>
      <c r="E13" s="1">
        <f t="shared" si="1"/>
        <v>4</v>
      </c>
    </row>
    <row r="14" spans="1:5" x14ac:dyDescent="0.3">
      <c r="A14" s="11">
        <v>45412</v>
      </c>
      <c r="B14" s="7" t="s">
        <v>4</v>
      </c>
      <c r="C14" s="9">
        <v>36023</v>
      </c>
      <c r="D14" s="1">
        <f t="shared" si="0"/>
        <v>2024</v>
      </c>
      <c r="E14" s="1">
        <f t="shared" si="1"/>
        <v>4</v>
      </c>
    </row>
    <row r="15" spans="1:5" x14ac:dyDescent="0.3">
      <c r="A15" s="11">
        <v>45443</v>
      </c>
      <c r="B15" s="7" t="s">
        <v>3</v>
      </c>
      <c r="C15" s="9">
        <v>61567</v>
      </c>
      <c r="D15" s="1">
        <f t="shared" si="0"/>
        <v>2024</v>
      </c>
      <c r="E15" s="1">
        <f t="shared" si="1"/>
        <v>5</v>
      </c>
    </row>
    <row r="16" spans="1:5" x14ac:dyDescent="0.3">
      <c r="A16" s="11">
        <v>45443</v>
      </c>
      <c r="B16" s="7" t="s">
        <v>4</v>
      </c>
      <c r="C16" s="9">
        <v>36159</v>
      </c>
      <c r="D16" s="1">
        <f t="shared" si="0"/>
        <v>2024</v>
      </c>
      <c r="E16" s="1">
        <f t="shared" si="1"/>
        <v>5</v>
      </c>
    </row>
    <row r="17" spans="1:5" x14ac:dyDescent="0.3">
      <c r="A17" s="11">
        <v>45473</v>
      </c>
      <c r="B17" s="7" t="s">
        <v>3</v>
      </c>
      <c r="C17" s="9">
        <v>61672</v>
      </c>
      <c r="D17" s="1">
        <f t="shared" si="0"/>
        <v>2024</v>
      </c>
      <c r="E17" s="1">
        <f t="shared" si="1"/>
        <v>6</v>
      </c>
    </row>
    <row r="18" spans="1:5" x14ac:dyDescent="0.3">
      <c r="A18" s="11">
        <v>45473</v>
      </c>
      <c r="B18" s="7" t="s">
        <v>4</v>
      </c>
      <c r="C18" s="9">
        <v>36220</v>
      </c>
      <c r="D18" s="1">
        <f t="shared" si="0"/>
        <v>2024</v>
      </c>
      <c r="E18" s="1">
        <f t="shared" si="1"/>
        <v>6</v>
      </c>
    </row>
    <row r="19" spans="1:5" x14ac:dyDescent="0.3">
      <c r="A19" s="11">
        <v>45504</v>
      </c>
      <c r="B19" s="7" t="s">
        <v>3</v>
      </c>
      <c r="C19" s="9">
        <v>61889</v>
      </c>
      <c r="D19" s="1">
        <f t="shared" si="0"/>
        <v>2024</v>
      </c>
      <c r="E19" s="1">
        <f t="shared" si="1"/>
        <v>7</v>
      </c>
    </row>
    <row r="20" spans="1:5" x14ac:dyDescent="0.3">
      <c r="A20" s="11">
        <v>45504</v>
      </c>
      <c r="B20" s="7" t="s">
        <v>4</v>
      </c>
      <c r="C20" s="9">
        <v>36348</v>
      </c>
      <c r="D20" s="1">
        <f t="shared" si="0"/>
        <v>2024</v>
      </c>
      <c r="E20" s="1">
        <f t="shared" si="1"/>
        <v>7</v>
      </c>
    </row>
    <row r="21" spans="1:5" x14ac:dyDescent="0.3">
      <c r="A21" s="11">
        <v>45535</v>
      </c>
      <c r="B21" s="7" t="s">
        <v>3</v>
      </c>
      <c r="C21" s="9">
        <v>61909</v>
      </c>
      <c r="D21" s="1">
        <f t="shared" si="0"/>
        <v>2024</v>
      </c>
      <c r="E21" s="1">
        <f t="shared" si="1"/>
        <v>8</v>
      </c>
    </row>
    <row r="22" spans="1:5" x14ac:dyDescent="0.3">
      <c r="A22" s="11">
        <v>45535</v>
      </c>
      <c r="B22" s="7" t="s">
        <v>4</v>
      </c>
      <c r="C22" s="9">
        <v>36360</v>
      </c>
      <c r="D22" s="1">
        <f t="shared" si="0"/>
        <v>2024</v>
      </c>
      <c r="E22" s="1">
        <f t="shared" si="1"/>
        <v>8</v>
      </c>
    </row>
    <row r="23" spans="1:5" x14ac:dyDescent="0.3">
      <c r="A23" s="11">
        <v>45565</v>
      </c>
      <c r="B23" s="7" t="s">
        <v>3</v>
      </c>
      <c r="C23" s="9">
        <v>62024</v>
      </c>
      <c r="D23" s="1">
        <f t="shared" si="0"/>
        <v>2024</v>
      </c>
      <c r="E23" s="1">
        <f t="shared" si="1"/>
        <v>9</v>
      </c>
    </row>
    <row r="24" spans="1:5" x14ac:dyDescent="0.3">
      <c r="A24" s="11">
        <v>45565</v>
      </c>
      <c r="B24" s="7" t="s">
        <v>4</v>
      </c>
      <c r="C24" s="9">
        <v>36427</v>
      </c>
      <c r="D24" s="1">
        <f t="shared" si="0"/>
        <v>2024</v>
      </c>
      <c r="E24" s="1">
        <f t="shared" si="1"/>
        <v>9</v>
      </c>
    </row>
    <row r="25" spans="1:5" x14ac:dyDescent="0.3">
      <c r="A25" s="11">
        <v>45596</v>
      </c>
      <c r="B25" s="7" t="s">
        <v>3</v>
      </c>
      <c r="C25" s="9">
        <v>61947</v>
      </c>
      <c r="D25" s="1">
        <f t="shared" si="0"/>
        <v>2024</v>
      </c>
      <c r="E25" s="1">
        <f t="shared" si="1"/>
        <v>10</v>
      </c>
    </row>
    <row r="26" spans="1:5" x14ac:dyDescent="0.3">
      <c r="A26" s="11">
        <v>45596</v>
      </c>
      <c r="B26" s="7" t="s">
        <v>4</v>
      </c>
      <c r="C26" s="9">
        <v>36382</v>
      </c>
      <c r="D26" s="1">
        <f t="shared" si="0"/>
        <v>2024</v>
      </c>
      <c r="E26" s="1">
        <f t="shared" si="1"/>
        <v>10</v>
      </c>
    </row>
    <row r="27" spans="1:5" x14ac:dyDescent="0.3">
      <c r="A27" s="11">
        <v>45626</v>
      </c>
      <c r="B27" s="7" t="s">
        <v>3</v>
      </c>
      <c r="C27" s="9">
        <v>61968</v>
      </c>
      <c r="D27" s="1">
        <f t="shared" si="0"/>
        <v>2024</v>
      </c>
      <c r="E27" s="1">
        <f t="shared" si="1"/>
        <v>11</v>
      </c>
    </row>
    <row r="28" spans="1:5" x14ac:dyDescent="0.3">
      <c r="A28" s="11">
        <v>45626</v>
      </c>
      <c r="B28" s="7" t="s">
        <v>4</v>
      </c>
      <c r="C28" s="9">
        <v>36394</v>
      </c>
      <c r="D28" s="1">
        <f t="shared" si="0"/>
        <v>2024</v>
      </c>
      <c r="E28" s="1">
        <f t="shared" si="1"/>
        <v>11</v>
      </c>
    </row>
    <row r="29" spans="1:5" x14ac:dyDescent="0.3">
      <c r="A29" s="11">
        <v>45657</v>
      </c>
      <c r="B29" s="7" t="s">
        <v>3</v>
      </c>
      <c r="C29" s="9">
        <v>61754</v>
      </c>
      <c r="D29" s="1">
        <f t="shared" si="0"/>
        <v>2024</v>
      </c>
      <c r="E29" s="1">
        <f t="shared" si="1"/>
        <v>12</v>
      </c>
    </row>
    <row r="30" spans="1:5" x14ac:dyDescent="0.3">
      <c r="A30" s="11">
        <v>45657</v>
      </c>
      <c r="B30" s="7" t="s">
        <v>4</v>
      </c>
      <c r="C30" s="9">
        <v>36268</v>
      </c>
      <c r="D30" s="1">
        <f t="shared" si="0"/>
        <v>2024</v>
      </c>
      <c r="E30" s="1">
        <f t="shared" si="1"/>
        <v>12</v>
      </c>
    </row>
    <row r="31" spans="1:5" x14ac:dyDescent="0.3">
      <c r="A31" s="11">
        <v>45688</v>
      </c>
      <c r="B31" s="7" t="s">
        <v>3</v>
      </c>
      <c r="C31" s="9">
        <v>62695</v>
      </c>
      <c r="D31" s="1">
        <f t="shared" si="0"/>
        <v>2025</v>
      </c>
      <c r="E31" s="1">
        <f t="shared" si="1"/>
        <v>1</v>
      </c>
    </row>
    <row r="32" spans="1:5" x14ac:dyDescent="0.3">
      <c r="A32" s="11">
        <v>45688</v>
      </c>
      <c r="B32" s="7" t="s">
        <v>4</v>
      </c>
      <c r="C32" s="9">
        <v>36821</v>
      </c>
      <c r="D32" s="1">
        <f t="shared" si="0"/>
        <v>2025</v>
      </c>
      <c r="E32" s="1">
        <f t="shared" si="1"/>
        <v>1</v>
      </c>
    </row>
    <row r="33" spans="1:5" x14ac:dyDescent="0.3">
      <c r="A33" s="11">
        <v>45716</v>
      </c>
      <c r="B33" s="7" t="s">
        <v>3</v>
      </c>
      <c r="C33" s="9">
        <v>62606</v>
      </c>
      <c r="D33" s="1">
        <f t="shared" si="0"/>
        <v>2025</v>
      </c>
      <c r="E33" s="1">
        <f t="shared" si="1"/>
        <v>2</v>
      </c>
    </row>
    <row r="34" spans="1:5" x14ac:dyDescent="0.3">
      <c r="A34" s="11">
        <v>45716</v>
      </c>
      <c r="B34" s="7" t="s">
        <v>4</v>
      </c>
      <c r="C34" s="9">
        <v>36769</v>
      </c>
      <c r="D34" s="1">
        <f t="shared" si="0"/>
        <v>2025</v>
      </c>
      <c r="E34" s="1">
        <f t="shared" si="1"/>
        <v>2</v>
      </c>
    </row>
    <row r="35" spans="1:5" x14ac:dyDescent="0.3">
      <c r="A35" s="11">
        <v>45747</v>
      </c>
      <c r="B35" s="7" t="s">
        <v>3</v>
      </c>
      <c r="C35" s="9">
        <v>63014</v>
      </c>
      <c r="D35" s="1">
        <f t="shared" si="0"/>
        <v>2025</v>
      </c>
      <c r="E35" s="1">
        <f t="shared" si="1"/>
        <v>3</v>
      </c>
    </row>
    <row r="36" spans="1:5" x14ac:dyDescent="0.3">
      <c r="A36" s="11">
        <v>45747</v>
      </c>
      <c r="B36" s="7" t="s">
        <v>4</v>
      </c>
      <c r="C36" s="9">
        <v>37008</v>
      </c>
      <c r="D36" s="1">
        <f t="shared" si="0"/>
        <v>2025</v>
      </c>
      <c r="E36" s="1">
        <f t="shared" si="1"/>
        <v>3</v>
      </c>
    </row>
    <row r="37" spans="1:5" x14ac:dyDescent="0.3">
      <c r="A37" s="11">
        <v>45777</v>
      </c>
      <c r="B37" s="7" t="s">
        <v>3</v>
      </c>
      <c r="C37" s="9">
        <v>62742</v>
      </c>
      <c r="D37" s="1">
        <f t="shared" si="0"/>
        <v>2025</v>
      </c>
      <c r="E37" s="1">
        <f t="shared" si="1"/>
        <v>4</v>
      </c>
    </row>
    <row r="38" spans="1:5" x14ac:dyDescent="0.3">
      <c r="A38" s="11">
        <v>45777</v>
      </c>
      <c r="B38" s="7" t="s">
        <v>4</v>
      </c>
      <c r="C38" s="9">
        <v>36848</v>
      </c>
      <c r="D38" s="1">
        <f t="shared" si="0"/>
        <v>2025</v>
      </c>
      <c r="E38" s="1">
        <f t="shared" si="1"/>
        <v>4</v>
      </c>
    </row>
    <row r="39" spans="1:5" x14ac:dyDescent="0.3">
      <c r="A39" s="11">
        <v>45808</v>
      </c>
      <c r="B39" s="7" t="s">
        <v>3</v>
      </c>
      <c r="C39" s="9">
        <v>62810</v>
      </c>
      <c r="D39" s="1">
        <f t="shared" si="0"/>
        <v>2025</v>
      </c>
      <c r="E39" s="1">
        <f t="shared" si="1"/>
        <v>5</v>
      </c>
    </row>
    <row r="40" spans="1:5" x14ac:dyDescent="0.3">
      <c r="A40" s="11">
        <v>45808</v>
      </c>
      <c r="B40" s="7" t="s">
        <v>4</v>
      </c>
      <c r="C40" s="9">
        <v>36888</v>
      </c>
      <c r="D40" s="1">
        <f t="shared" si="0"/>
        <v>2025</v>
      </c>
      <c r="E40" s="1">
        <f t="shared" si="1"/>
        <v>5</v>
      </c>
    </row>
    <row r="41" spans="1:5" x14ac:dyDescent="0.3">
      <c r="A41" s="11">
        <v>45838</v>
      </c>
      <c r="B41" s="7" t="s">
        <v>3</v>
      </c>
      <c r="C41" s="9">
        <v>62982</v>
      </c>
      <c r="D41" s="1">
        <f t="shared" si="0"/>
        <v>2025</v>
      </c>
      <c r="E41" s="1">
        <f t="shared" si="1"/>
        <v>6</v>
      </c>
    </row>
    <row r="42" spans="1:5" x14ac:dyDescent="0.3">
      <c r="A42" s="11">
        <v>45838</v>
      </c>
      <c r="B42" s="7" t="s">
        <v>4</v>
      </c>
      <c r="C42" s="9">
        <v>36989</v>
      </c>
      <c r="D42" s="1">
        <f t="shared" si="0"/>
        <v>2025</v>
      </c>
      <c r="E42" s="1">
        <f t="shared" si="1"/>
        <v>6</v>
      </c>
    </row>
    <row r="43" spans="1:5" x14ac:dyDescent="0.3">
      <c r="A43" s="11">
        <v>45869</v>
      </c>
      <c r="B43" s="7" t="s">
        <v>3</v>
      </c>
      <c r="C43" s="9">
        <v>63030</v>
      </c>
      <c r="D43" s="1">
        <f t="shared" si="0"/>
        <v>2025</v>
      </c>
      <c r="E43" s="1">
        <f t="shared" si="1"/>
        <v>7</v>
      </c>
    </row>
    <row r="44" spans="1:5" x14ac:dyDescent="0.3">
      <c r="A44" s="11">
        <v>45869</v>
      </c>
      <c r="B44" s="7" t="s">
        <v>4</v>
      </c>
      <c r="C44" s="9">
        <v>37018</v>
      </c>
      <c r="D44" s="1">
        <f t="shared" si="0"/>
        <v>2025</v>
      </c>
      <c r="E44" s="1">
        <f t="shared" si="1"/>
        <v>7</v>
      </c>
    </row>
    <row r="45" spans="1:5" x14ac:dyDescent="0.3">
      <c r="A45" s="11">
        <v>45900</v>
      </c>
      <c r="B45" s="7" t="s">
        <v>3</v>
      </c>
      <c r="C45" s="9">
        <v>63406</v>
      </c>
      <c r="D45" s="1">
        <f t="shared" si="0"/>
        <v>2025</v>
      </c>
      <c r="E45" s="1">
        <f t="shared" si="1"/>
        <v>8</v>
      </c>
    </row>
    <row r="46" spans="1:5" x14ac:dyDescent="0.3">
      <c r="A46" s="11">
        <v>45900</v>
      </c>
      <c r="B46" s="7" t="s">
        <v>4</v>
      </c>
      <c r="C46" s="9">
        <v>37238</v>
      </c>
      <c r="D46" s="1">
        <f t="shared" si="0"/>
        <v>2025</v>
      </c>
      <c r="E46" s="1">
        <f t="shared" si="1"/>
        <v>8</v>
      </c>
    </row>
    <row r="47" spans="1:5" x14ac:dyDescent="0.3">
      <c r="A47" s="11">
        <v>45930</v>
      </c>
      <c r="B47" s="7" t="s">
        <v>3</v>
      </c>
      <c r="C47" s="9">
        <v>62970</v>
      </c>
      <c r="D47" s="1">
        <f t="shared" si="0"/>
        <v>2025</v>
      </c>
      <c r="E47" s="1">
        <f t="shared" si="1"/>
        <v>9</v>
      </c>
    </row>
    <row r="48" spans="1:5" x14ac:dyDescent="0.3">
      <c r="A48" s="11">
        <v>45930</v>
      </c>
      <c r="B48" s="7" t="s">
        <v>4</v>
      </c>
      <c r="C48" s="9">
        <v>36983</v>
      </c>
      <c r="D48" s="1">
        <f t="shared" si="0"/>
        <v>2025</v>
      </c>
      <c r="E48" s="1">
        <f t="shared" si="1"/>
        <v>9</v>
      </c>
    </row>
    <row r="49" spans="1:5" x14ac:dyDescent="0.3">
      <c r="A49" s="11">
        <v>45961</v>
      </c>
      <c r="B49" s="7" t="s">
        <v>3</v>
      </c>
      <c r="C49" s="9">
        <v>62931</v>
      </c>
      <c r="D49" s="1">
        <f t="shared" si="0"/>
        <v>2025</v>
      </c>
      <c r="E49" s="1">
        <f t="shared" si="1"/>
        <v>10</v>
      </c>
    </row>
    <row r="50" spans="1:5" x14ac:dyDescent="0.3">
      <c r="A50" s="11">
        <v>45961</v>
      </c>
      <c r="B50" s="7" t="s">
        <v>4</v>
      </c>
      <c r="C50" s="9">
        <v>36960</v>
      </c>
      <c r="D50" s="1">
        <f t="shared" si="0"/>
        <v>2025</v>
      </c>
      <c r="E50" s="1">
        <f t="shared" si="1"/>
        <v>10</v>
      </c>
    </row>
    <row r="51" spans="1:5" x14ac:dyDescent="0.3">
      <c r="A51" s="11">
        <v>45991</v>
      </c>
      <c r="B51" s="7" t="s">
        <v>3</v>
      </c>
      <c r="C51" s="9">
        <v>63238</v>
      </c>
      <c r="D51" s="1">
        <f t="shared" si="0"/>
        <v>2025</v>
      </c>
      <c r="E51" s="1">
        <f t="shared" si="1"/>
        <v>11</v>
      </c>
    </row>
    <row r="52" spans="1:5" x14ac:dyDescent="0.3">
      <c r="A52" s="11">
        <v>45991</v>
      </c>
      <c r="B52" s="7" t="s">
        <v>4</v>
      </c>
      <c r="C52" s="9">
        <v>37139</v>
      </c>
      <c r="D52" s="1">
        <f t="shared" si="0"/>
        <v>2025</v>
      </c>
      <c r="E52" s="1">
        <f t="shared" si="1"/>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controls</vt:lpstr>
      <vt:lpstr>cf</vt:lpstr>
      <vt:lpstr>Dashboard</vt:lpstr>
      <vt:lpstr>calcs</vt:lpstr>
      <vt:lpstr>pivot</vt:lpstr>
      <vt:lpstr>combined data</vt:lpstr>
      <vt:lpstr>claims</vt:lpstr>
      <vt:lpstr>mbr</vt:lpstr>
      <vt:lpstr>close_date</vt:lpstr>
      <vt:lpstr>close_month</vt:lpstr>
      <vt:lpstr>close_year</vt:lpstr>
      <vt:lpstr>incurred_date</vt:lpstr>
      <vt:lpstr>incurred_month</vt:lpstr>
      <vt:lpstr>incurred_year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Tristan Campbell</dc:creator>
  <cp:lastModifiedBy>Tristan Campbell</cp:lastModifiedBy>
  <dcterms:created xsi:type="dcterms:W3CDTF">2026-02-26T12:16:49Z</dcterms:created>
  <dcterms:modified xsi:type="dcterms:W3CDTF">2026-03-01T15:51:15Z</dcterms:modified>
</cp:coreProperties>
</file>