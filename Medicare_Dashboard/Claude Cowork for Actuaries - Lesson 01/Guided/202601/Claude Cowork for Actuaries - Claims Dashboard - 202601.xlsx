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trols" sheetId="1" state="visible" r:id="rId3"/>
    <sheet name="cf" sheetId="2" state="visible" r:id="rId4"/>
    <sheet name="Dashboard" sheetId="3" state="visible" r:id="rId5"/>
    <sheet name="calcs" sheetId="4" state="visible" r:id="rId6"/>
    <sheet name="pivot" sheetId="5" state="visible" r:id="rId7"/>
    <sheet name="combined data" sheetId="6" state="visible" r:id="rId8"/>
    <sheet name="claims" sheetId="7" state="visible" r:id="rId9"/>
    <sheet name="mbr" sheetId="8" state="visible" r:id="rId10"/>
  </sheets>
  <definedNames>
    <definedName function="false" hidden="false" name="close_date" vbProcedure="false">controls!$B$5</definedName>
    <definedName function="false" hidden="false" name="close_month" vbProcedure="false">controls!$B$7</definedName>
    <definedName function="false" hidden="false" name="close_year" vbProcedure="false">controls!$B$6</definedName>
    <definedName function="false" hidden="false" name="incurred_date" vbProcedure="false">controls!$B$9</definedName>
    <definedName function="false" hidden="false" name="incurred_month" vbProcedure="false">controls!$B$11</definedName>
    <definedName function="false" hidden="false" name="incurred_year" vbProcedure="false">controls!$B$10</definedName>
    <definedName function="false" hidden="false" name="Slicer_claim_type" vbProcedure="false">#N/A</definedName>
    <definedName function="false" hidden="false" name="Slicer_plan_type" vbProcedure="false">#N/A</definedName>
  </definedNames>
  <calcPr iterateCount="100" refMode="A1" iterate="false" iterateDelta="0.0001"/>
  <pivotCaches>
    <pivotCache cacheId="1" r:id="rId12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<sst xmlns="http://schemas.openxmlformats.org/spreadsheetml/2006/main" count="1023" uniqueCount="204">
  <si>
    <t xml:space="preserve">inputs are in teal text throughout file</t>
  </si>
  <si>
    <t xml:space="preserve">Variables</t>
  </si>
  <si>
    <t xml:space="preserve">Close Date</t>
  </si>
  <si>
    <t xml:space="preserve">End-of-month date for close month</t>
  </si>
  <si>
    <t xml:space="preserve">Close Year</t>
  </si>
  <si>
    <t xml:space="preserve">Close Month</t>
  </si>
  <si>
    <t xml:space="preserve">Incurred Date</t>
  </si>
  <si>
    <t xml:space="preserve">Incurred Year</t>
  </si>
  <si>
    <t xml:space="preserve">Incurred Month</t>
  </si>
  <si>
    <t xml:space="preserve">see 'Completion Factors' folder and use most recent</t>
  </si>
  <si>
    <t xml:space="preserve">plan_type</t>
  </si>
  <si>
    <t xml:space="preserve">claim_type</t>
  </si>
  <si>
    <t xml:space="preserve">lag</t>
  </si>
  <si>
    <t xml:space="preserve">lookup</t>
  </si>
  <si>
    <t xml:space="preserve">factor</t>
  </si>
  <si>
    <t xml:space="preserve">HMO</t>
  </si>
  <si>
    <t xml:space="preserve">IP</t>
  </si>
  <si>
    <t xml:space="preserve">HMOIP0</t>
  </si>
  <si>
    <t xml:space="preserve">HMOIP1</t>
  </si>
  <si>
    <t xml:space="preserve">HMOIP2</t>
  </si>
  <si>
    <t xml:space="preserve">HMOIP3</t>
  </si>
  <si>
    <t xml:space="preserve">HMOIP4</t>
  </si>
  <si>
    <t xml:space="preserve">HMOIP5</t>
  </si>
  <si>
    <t xml:space="preserve">HMOIP6</t>
  </si>
  <si>
    <t xml:space="preserve">HMOIP7</t>
  </si>
  <si>
    <t xml:space="preserve">HMOIP8</t>
  </si>
  <si>
    <t xml:space="preserve">HMOIP9</t>
  </si>
  <si>
    <t xml:space="preserve">HMOIP10</t>
  </si>
  <si>
    <t xml:space="preserve">HMOIP11</t>
  </si>
  <si>
    <t xml:space="preserve">HMOIP12</t>
  </si>
  <si>
    <t xml:space="preserve">HMOIP13</t>
  </si>
  <si>
    <t xml:space="preserve">HMOIP14</t>
  </si>
  <si>
    <t xml:space="preserve">HMOIP15</t>
  </si>
  <si>
    <t xml:space="preserve">HMOIP16</t>
  </si>
  <si>
    <t xml:space="preserve">HMOIP17</t>
  </si>
  <si>
    <t xml:space="preserve">HMOIP18</t>
  </si>
  <si>
    <t xml:space="preserve">HMOIP19</t>
  </si>
  <si>
    <t xml:space="preserve">HMOIP20</t>
  </si>
  <si>
    <t xml:space="preserve">HMOIP21</t>
  </si>
  <si>
    <t xml:space="preserve">HMOIP22</t>
  </si>
  <si>
    <t xml:space="preserve">HMOIP23</t>
  </si>
  <si>
    <t xml:space="preserve">HMOIP24</t>
  </si>
  <si>
    <t xml:space="preserve">HMOIP25</t>
  </si>
  <si>
    <t xml:space="preserve">HMOIP26</t>
  </si>
  <si>
    <t xml:space="preserve">HMOIP27</t>
  </si>
  <si>
    <t xml:space="preserve">HMOIP28</t>
  </si>
  <si>
    <t xml:space="preserve">HMOIP29</t>
  </si>
  <si>
    <t xml:space="preserve">HMOIP30</t>
  </si>
  <si>
    <t xml:space="preserve">HMOIP31</t>
  </si>
  <si>
    <t xml:space="preserve">HMOIP32</t>
  </si>
  <si>
    <t xml:space="preserve">HMOIP33</t>
  </si>
  <si>
    <t xml:space="preserve">HMOIP34</t>
  </si>
  <si>
    <t xml:space="preserve">HMOIP35</t>
  </si>
  <si>
    <t xml:space="preserve">Non-IP</t>
  </si>
  <si>
    <t xml:space="preserve">HMONon-IP0</t>
  </si>
  <si>
    <t xml:space="preserve">HMONon-IP1</t>
  </si>
  <si>
    <t xml:space="preserve">HMONon-IP2</t>
  </si>
  <si>
    <t xml:space="preserve">HMONon-IP3</t>
  </si>
  <si>
    <t xml:space="preserve">HMONon-IP4</t>
  </si>
  <si>
    <t xml:space="preserve">HMONon-IP5</t>
  </si>
  <si>
    <t xml:space="preserve">HMONon-IP6</t>
  </si>
  <si>
    <t xml:space="preserve">HMONon-IP7</t>
  </si>
  <si>
    <t xml:space="preserve">HMONon-IP8</t>
  </si>
  <si>
    <t xml:space="preserve">HMONon-IP9</t>
  </si>
  <si>
    <t xml:space="preserve">HMONon-IP10</t>
  </si>
  <si>
    <t xml:space="preserve">HMONon-IP11</t>
  </si>
  <si>
    <t xml:space="preserve">HMONon-IP12</t>
  </si>
  <si>
    <t xml:space="preserve">HMONon-IP13</t>
  </si>
  <si>
    <t xml:space="preserve">HMONon-IP14</t>
  </si>
  <si>
    <t xml:space="preserve">HMONon-IP15</t>
  </si>
  <si>
    <t xml:space="preserve">HMONon-IP16</t>
  </si>
  <si>
    <t xml:space="preserve">HMONon-IP17</t>
  </si>
  <si>
    <t xml:space="preserve">HMONon-IP18</t>
  </si>
  <si>
    <t xml:space="preserve">HMONon-IP19</t>
  </si>
  <si>
    <t xml:space="preserve">HMONon-IP20</t>
  </si>
  <si>
    <t xml:space="preserve">HMONon-IP21</t>
  </si>
  <si>
    <t xml:space="preserve">HMONon-IP22</t>
  </si>
  <si>
    <t xml:space="preserve">HMONon-IP23</t>
  </si>
  <si>
    <t xml:space="preserve">HMONon-IP24</t>
  </si>
  <si>
    <t xml:space="preserve">HMONon-IP25</t>
  </si>
  <si>
    <t xml:space="preserve">HMONon-IP26</t>
  </si>
  <si>
    <t xml:space="preserve">HMONon-IP27</t>
  </si>
  <si>
    <t xml:space="preserve">HMONon-IP28</t>
  </si>
  <si>
    <t xml:space="preserve">HMONon-IP29</t>
  </si>
  <si>
    <t xml:space="preserve">HMONon-IP30</t>
  </si>
  <si>
    <t xml:space="preserve">HMONon-IP31</t>
  </si>
  <si>
    <t xml:space="preserve">HMONon-IP32</t>
  </si>
  <si>
    <t xml:space="preserve">HMONon-IP33</t>
  </si>
  <si>
    <t xml:space="preserve">HMONon-IP34</t>
  </si>
  <si>
    <t xml:space="preserve">HMONon-IP35</t>
  </si>
  <si>
    <t xml:space="preserve">PPO</t>
  </si>
  <si>
    <t xml:space="preserve">PPOIP0</t>
  </si>
  <si>
    <t xml:space="preserve">PPOIP1</t>
  </si>
  <si>
    <t xml:space="preserve">PPOIP2</t>
  </si>
  <si>
    <t xml:space="preserve">PPOIP3</t>
  </si>
  <si>
    <t xml:space="preserve">PPOIP4</t>
  </si>
  <si>
    <t xml:space="preserve">PPOIP5</t>
  </si>
  <si>
    <t xml:space="preserve">PPOIP6</t>
  </si>
  <si>
    <t xml:space="preserve">PPOIP7</t>
  </si>
  <si>
    <t xml:space="preserve">PPOIP8</t>
  </si>
  <si>
    <t xml:space="preserve">PPOIP9</t>
  </si>
  <si>
    <t xml:space="preserve">PPOIP10</t>
  </si>
  <si>
    <t xml:space="preserve">PPOIP11</t>
  </si>
  <si>
    <t xml:space="preserve">PPOIP12</t>
  </si>
  <si>
    <t xml:space="preserve">PPOIP13</t>
  </si>
  <si>
    <t xml:space="preserve">PPOIP14</t>
  </si>
  <si>
    <t xml:space="preserve">PPOIP15</t>
  </si>
  <si>
    <t xml:space="preserve">PPOIP16</t>
  </si>
  <si>
    <t xml:space="preserve">PPOIP17</t>
  </si>
  <si>
    <t xml:space="preserve">PPOIP18</t>
  </si>
  <si>
    <t xml:space="preserve">PPOIP19</t>
  </si>
  <si>
    <t xml:space="preserve">PPOIP20</t>
  </si>
  <si>
    <t xml:space="preserve">PPOIP21</t>
  </si>
  <si>
    <t xml:space="preserve">PPOIP22</t>
  </si>
  <si>
    <t xml:space="preserve">PPOIP23</t>
  </si>
  <si>
    <t xml:space="preserve">PPOIP24</t>
  </si>
  <si>
    <t xml:space="preserve">PPOIP25</t>
  </si>
  <si>
    <t xml:space="preserve">PPOIP26</t>
  </si>
  <si>
    <t xml:space="preserve">PPOIP27</t>
  </si>
  <si>
    <t xml:space="preserve">PPOIP28</t>
  </si>
  <si>
    <t xml:space="preserve">PPOIP29</t>
  </si>
  <si>
    <t xml:space="preserve">PPOIP30</t>
  </si>
  <si>
    <t xml:space="preserve">PPOIP31</t>
  </si>
  <si>
    <t xml:space="preserve">PPOIP32</t>
  </si>
  <si>
    <t xml:space="preserve">PPOIP33</t>
  </si>
  <si>
    <t xml:space="preserve">PPOIP34</t>
  </si>
  <si>
    <t xml:space="preserve">PPOIP35</t>
  </si>
  <si>
    <t xml:space="preserve">PPONon-IP0</t>
  </si>
  <si>
    <t xml:space="preserve">PPONon-IP1</t>
  </si>
  <si>
    <t xml:space="preserve">PPONon-IP2</t>
  </si>
  <si>
    <t xml:space="preserve">PPONon-IP3</t>
  </si>
  <si>
    <t xml:space="preserve">PPONon-IP4</t>
  </si>
  <si>
    <t xml:space="preserve">PPONon-IP5</t>
  </si>
  <si>
    <t xml:space="preserve">PPONon-IP6</t>
  </si>
  <si>
    <t xml:space="preserve">PPONon-IP7</t>
  </si>
  <si>
    <t xml:space="preserve">PPONon-IP8</t>
  </si>
  <si>
    <t xml:space="preserve">PPONon-IP9</t>
  </si>
  <si>
    <t xml:space="preserve">PPONon-IP10</t>
  </si>
  <si>
    <t xml:space="preserve">PPONon-IP11</t>
  </si>
  <si>
    <t xml:space="preserve">PPONon-IP12</t>
  </si>
  <si>
    <t xml:space="preserve">PPONon-IP13</t>
  </si>
  <si>
    <t xml:space="preserve">PPONon-IP14</t>
  </si>
  <si>
    <t xml:space="preserve">PPONon-IP15</t>
  </si>
  <si>
    <t xml:space="preserve">PPONon-IP16</t>
  </si>
  <si>
    <t xml:space="preserve">PPONon-IP17</t>
  </si>
  <si>
    <t xml:space="preserve">PPONon-IP18</t>
  </si>
  <si>
    <t xml:space="preserve">PPONon-IP19</t>
  </si>
  <si>
    <t xml:space="preserve">PPONon-IP20</t>
  </si>
  <si>
    <t xml:space="preserve">PPONon-IP21</t>
  </si>
  <si>
    <t xml:space="preserve">PPONon-IP22</t>
  </si>
  <si>
    <t xml:space="preserve">PPONon-IP23</t>
  </si>
  <si>
    <t xml:space="preserve">PPONon-IP24</t>
  </si>
  <si>
    <t xml:space="preserve">PPONon-IP25</t>
  </si>
  <si>
    <t xml:space="preserve">PPONon-IP26</t>
  </si>
  <si>
    <t xml:space="preserve">PPONon-IP27</t>
  </si>
  <si>
    <t xml:space="preserve">PPONon-IP28</t>
  </si>
  <si>
    <t xml:space="preserve">PPONon-IP29</t>
  </si>
  <si>
    <t xml:space="preserve">PPONon-IP30</t>
  </si>
  <si>
    <t xml:space="preserve">PPONon-IP31</t>
  </si>
  <si>
    <t xml:space="preserve">PPONon-IP32</t>
  </si>
  <si>
    <t xml:space="preserve">PPONon-IP33</t>
  </si>
  <si>
    <t xml:space="preserve">PPONon-IP34</t>
  </si>
  <si>
    <t xml:space="preserve">PPONon-IP35</t>
  </si>
  <si>
    <t xml:space="preserve">Claude Cowork for Actuaries - Claims PMPM Dashboard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</si>
  <si>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</si>
  <si>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</si>
  <si>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</si>
  <si>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</si>
  <si>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</si>
  <si>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</si>
  <si>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</si>
  <si>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</si>
  <si>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</si>
  <si>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</si>
  <si>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</si>
  <si>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</si>
  <si>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Q1</t>
  </si>
  <si>
    <t xml:space="preserve">Q2</t>
  </si>
  <si>
    <t xml:space="preserve">Q3</t>
  </si>
  <si>
    <t xml:space="preserve">Q4</t>
  </si>
  <si>
    <t xml:space="preserve">FY</t>
  </si>
  <si>
    <t xml:space="preserve">Trend</t>
  </si>
  <si>
    <t xml:space="preserve">Mth YTD</t>
  </si>
  <si>
    <t xml:space="preserve">Qtr YTD</t>
  </si>
  <si>
    <t xml:space="preserve">mbr</t>
  </si>
  <si>
    <t xml:space="preserve">clms</t>
  </si>
  <si>
    <t xml:space="preserve">PMPMs</t>
  </si>
  <si>
    <t xml:space="preserve">25/'24</t>
  </si>
  <si>
    <t xml:space="preserve">CY Graph</t>
  </si>
  <si>
    <t xml:space="preserve">Sum of member_months</t>
  </si>
  <si>
    <t xml:space="preserve">month</t>
  </si>
  <si>
    <t xml:space="preserve">year</t>
  </si>
  <si>
    <t xml:space="preserve">Total Result</t>
  </si>
  <si>
    <t xml:space="preserve">Sum of ultimate_incurred</t>
  </si>
  <si>
    <t xml:space="preserve">member_months</t>
  </si>
  <si>
    <t xml:space="preserve">ultimate_incurred</t>
  </si>
  <si>
    <t xml:space="preserve">data pasted in from clms_yyyymm CSV file and formatted</t>
  </si>
  <si>
    <t xml:space="preserve">incurred_year_month</t>
  </si>
  <si>
    <t xml:space="preserve">plan_paid</t>
  </si>
  <si>
    <t xml:space="preserve">incurred_year</t>
  </si>
  <si>
    <t xml:space="preserve">incurred_month</t>
  </si>
  <si>
    <t xml:space="preserve">completion_factor</t>
  </si>
  <si>
    <t xml:space="preserve">data pasted in from mbr_yyyymm CSV file and formatted</t>
  </si>
  <si>
    <t xml:space="preserve">year_month</t>
  </si>
</sst>
</file>

<file path=xl/styles.xml><?xml version="1.0" encoding="utf-8"?>
<styleSheet xmlns="http://schemas.openxmlformats.org/spreadsheetml/2006/main">
  <numFmts count="10">
    <numFmt numFmtId="164" formatCode="_(\$* #,##0_);_(\$* \(#,##0\);_(\$* \-_);_(@_)"/>
    <numFmt numFmtId="165" formatCode="General"/>
    <numFmt numFmtId="166" formatCode="m/d/yyyy"/>
    <numFmt numFmtId="167" formatCode="_(* #,##0.00_);_(* \(#,##0.00\);_(* \-??_);_(@_)"/>
    <numFmt numFmtId="168" formatCode="_(\$* #,##0.00_);_(\$* \(#,##0.00\);_(\$* \-??_);_(@_)"/>
    <numFmt numFmtId="169" formatCode="_(\$* #,##0.00_);_(\$* \(#,##0.00\);_(\$* \-??_);_(@_)"/>
    <numFmt numFmtId="170" formatCode="0%"/>
    <numFmt numFmtId="171" formatCode="0.0%"/>
    <numFmt numFmtId="172" formatCode="_(* #,##0_);_(* \(#,##0\);_(* \-??_);_(@_)"/>
    <numFmt numFmtId="173" formatCode="_(\$* #,##0_);_(\$* \(#,##0\);_(\$* \-??_);_(@_)"/>
  </numFmts>
  <fonts count="1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9"/>
      <color theme="1"/>
      <name val="Aptos Narrow"/>
      <family val="2"/>
      <charset val="1"/>
    </font>
    <font>
      <sz val="9"/>
      <color theme="4"/>
      <name val="Aptos Narrow"/>
      <family val="2"/>
      <charset val="1"/>
    </font>
    <font>
      <b val="true"/>
      <u val="single"/>
      <sz val="9"/>
      <color theme="1"/>
      <name val="Aptos Narrow"/>
      <family val="2"/>
      <charset val="1"/>
    </font>
    <font>
      <b val="true"/>
      <sz val="9"/>
      <color theme="1"/>
      <name val="Aptos Narrow"/>
      <family val="2"/>
      <charset val="1"/>
    </font>
    <font>
      <i val="true"/>
      <sz val="9"/>
      <color theme="1"/>
      <name val="Aptos Narrow"/>
      <family val="2"/>
      <charset val="1"/>
    </font>
    <font>
      <b val="true"/>
      <sz val="22"/>
      <color theme="1"/>
      <name val="Aptos Narrow"/>
      <family val="2"/>
      <charset val="1"/>
    </font>
    <font>
      <b val="true"/>
      <i val="true"/>
      <sz val="9"/>
      <color theme="1"/>
      <name val="Aptos Narrow"/>
      <family val="2"/>
      <charset val="1"/>
    </font>
    <font>
      <b val="true"/>
      <sz val="16"/>
      <color rgb="FF001A23"/>
      <name val="Aptos Narrow"/>
      <family val="2"/>
    </font>
    <font>
      <sz val="9"/>
      <color rgb="FF001A23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theme="0"/>
        <bgColor rgb="FFF2F2F2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7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3" borderId="7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8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9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3" borderId="10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2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2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3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6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5" fillId="0" borderId="1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5" fillId="0" borderId="2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5" fillId="0" borderId="2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5" fillId="0" borderId="2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9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8" fillId="0" borderId="33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4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6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9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3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4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6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1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4" formatCode="_(\$* #,##0_);_(\$* \(#,##0\);_(\$* \-_);_(@_)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29A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AA198"/>
      <rgbColor rgb="FF001A23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600" b="1" u="none" strike="noStrike">
                <a:solidFill>
                  <a:schemeClr val="tx1"/>
                </a:solidFill>
                <a:uFillTx/>
                <a:latin typeface="Aptos Narrow"/>
              </a:rPr>
              <a:t>PMPMs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Dashboard!$B$24:$C$24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00729A"/>
            </a:solidFill>
            <a:ln cap="rnd" w="15840">
              <a:solidFill>
                <a:schemeClr val="dk1">
                  <a:lumMod val="75000"/>
                  <a:lumOff val="25000"/>
                </a:schemeClr>
              </a:solidFill>
              <a:round/>
            </a:ln>
          </c:spPr>
          <c:marker>
            <c:symbol val="circle"/>
            <c:size val="4"/>
            <c:spPr>
              <a:solidFill>
                <a:srgbClr val="00729A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1A23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5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Dashboard!$D$22:$O$22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Dashboard!$D$24:$O$24</c:f>
              <c:numCache>
                <c:formatCode>_(\$* #,##0.00_);_(\$* \(#,##0.00\);_(\$* \-??_);_(@_)</c:formatCode>
                <c:ptCount val="12"/>
                <c:pt idx="0">
                  <c:v>897.485341066856</c:v>
                </c:pt>
                <c:pt idx="1">
                  <c:v>885.870875288731</c:v>
                </c:pt>
                <c:pt idx="2">
                  <c:v>889.197192440394</c:v>
                </c:pt>
                <c:pt idx="3">
                  <c:v>845.465220008217</c:v>
                </c:pt>
                <c:pt idx="4">
                  <c:v>843.33472944764</c:v>
                </c:pt>
                <c:pt idx="5">
                  <c:v>815.507083520614</c:v>
                </c:pt>
                <c:pt idx="6">
                  <c:v>801.262739904517</c:v>
                </c:pt>
                <c:pt idx="7">
                  <c:v>793.537450060548</c:v>
                </c:pt>
                <c:pt idx="8">
                  <c:v>843.607658632213</c:v>
                </c:pt>
                <c:pt idx="9">
                  <c:v>861.056978917715</c:v>
                </c:pt>
                <c:pt idx="10">
                  <c:v>940.504033569875</c:v>
                </c:pt>
                <c:pt idx="11">
                  <c:v>960.311454877477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Dashboard!$B$25:$C$25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001A23"/>
            </a:solidFill>
            <a:ln cap="rnd" w="15840">
              <a:solidFill>
                <a:schemeClr val="dk1"/>
              </a:solidFill>
              <a:round/>
            </a:ln>
          </c:spPr>
          <c:marker>
            <c:symbol val="circle"/>
            <c:size val="4"/>
            <c:spPr>
              <a:solidFill>
                <a:srgbClr val="001A23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1A23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5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Dashboard!$D$22:$O$22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calcs!$E$24:$P$24</c:f>
              <c:numCache>
                <c:formatCode>_(\$* #,##0.00_);_(\$* \(#,##0.00\);_(\$* \-??_);_(@_)</c:formatCode>
                <c:ptCount val="12"/>
                <c:pt idx="0">
                  <c:v>937.924346336268</c:v>
                </c:pt>
                <c:pt idx="1">
                  <c:v>945.262740125786</c:v>
                </c:pt>
                <c:pt idx="2">
                  <c:v>898.924278158805</c:v>
                </c:pt>
                <c:pt idx="3">
                  <c:v>901.87419179352</c:v>
                </c:pt>
                <c:pt idx="4">
                  <c:v>850.935769804778</c:v>
                </c:pt>
                <c:pt idx="5">
                  <c:v>824.779341966872</c:v>
                </c:pt>
                <c:pt idx="6">
                  <c:v>869.286613657563</c:v>
                </c:pt>
                <c:pt idx="7">
                  <c:v>870.956966880832</c:v>
                </c:pt>
                <c:pt idx="8">
                  <c:v>907.970772805768</c:v>
                </c:pt>
                <c:pt idx="9">
                  <c:v>957.006705542855</c:v>
                </c:pt>
                <c:pt idx="10">
                  <c:v>908.485558407819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5684742"/>
        <c:axId val="86763278"/>
      </c:lineChart>
      <c:catAx>
        <c:axId val="856847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lt1">
                <a:lumMod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/>
                </a:solidFill>
                <a:uFillTx/>
                <a:latin typeface="Aptos Narrow"/>
              </a:defRPr>
            </a:pPr>
          </a:p>
        </c:txPr>
        <c:crossAx val="86763278"/>
        <c:crosses val="autoZero"/>
        <c:auto val="1"/>
        <c:lblAlgn val="ctr"/>
        <c:lblOffset val="100"/>
        <c:noMultiLvlLbl val="0"/>
      </c:catAx>
      <c:valAx>
        <c:axId val="86763278"/>
        <c:scaling>
          <c:orientation val="minMax"/>
        </c:scaling>
        <c:delete val="0"/>
        <c:axPos val="l"/>
        <c:numFmt formatCode="_(\$* #,##0.00_);_(\$* \(#,##0.00\);_(\$* \-??_);_(@_)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/>
                </a:solidFill>
                <a:uFillTx/>
                <a:latin typeface="Aptos Narrow"/>
              </a:defRPr>
            </a:pPr>
          </a:p>
        </c:txPr>
        <c:crossAx val="856847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/>
              </a:solidFill>
              <a:uFillTx/>
              <a:latin typeface="Aptos Narrow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chemeClr val="dk1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6</xdr:row>
      <xdr:rowOff>0</xdr:rowOff>
    </xdr:from>
    <xdr:to>
      <xdr:col>15</xdr:col>
      <xdr:colOff>18720</xdr:colOff>
      <xdr:row>19</xdr:row>
      <xdr:rowOff>150840</xdr:rowOff>
    </xdr:to>
    <xdr:graphicFrame>
      <xdr:nvGraphicFramePr>
        <xdr:cNvPr id="1" name="Chart 1"/>
        <xdr:cNvGraphicFramePr/>
      </xdr:nvGraphicFramePr>
      <xdr:xfrm>
        <a:off x="1066680" y="1123920"/>
        <a:ext cx="9231480" cy="213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501120</xdr:colOff>
      <xdr:row>2</xdr:row>
      <xdr:rowOff>38880</xdr:rowOff>
    </xdr:from>
    <xdr:to>
      <xdr:col>13</xdr:col>
      <xdr:colOff>324000</xdr:colOff>
      <xdr:row>2</xdr:row>
      <xdr:rowOff>361440</xdr:rowOff>
    </xdr:to>
    <xdr:pic>
      <xdr:nvPicPr>
        <xdr:cNvPr id="2" name="Picture 6"/>
        <xdr:cNvPicPr/>
      </xdr:nvPicPr>
      <xdr:blipFill>
        <a:blip r:embed="rId2"/>
        <a:stretch/>
      </xdr:blipFill>
      <xdr:spPr>
        <a:xfrm>
          <a:off x="6174360" y="153360"/>
          <a:ext cx="2893680" cy="322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44" createdVersion="3">
  <cacheSource type="worksheet">
    <worksheetSource ref="A6:F150" sheet="combined data"/>
  </cacheSource>
  <cacheFields count="6">
    <cacheField name="year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plan_type" numFmtId="0">
      <sharedItems count="2">
        <s v="HMO"/>
        <s v="PPO"/>
      </sharedItems>
    </cacheField>
    <cacheField name="claim_type" numFmtId="0">
      <sharedItems containsBlank="1" count="3">
        <s v="IP"/>
        <s v="Non-IP"/>
        <m/>
      </sharedItems>
    </cacheField>
    <cacheField name="member_months" numFmtId="0">
      <sharedItems containsString="0" containsBlank="1" containsNumber="1" containsInteger="1" minValue="35925" maxValue="63612" count="51">
        <n v="35925"/>
        <n v="35978"/>
        <n v="36023"/>
        <n v="36159"/>
        <n v="36202"/>
        <n v="36220"/>
        <n v="36268"/>
        <n v="36348"/>
        <n v="36360"/>
        <n v="36382"/>
        <n v="36394"/>
        <n v="36427"/>
        <n v="36769"/>
        <n v="36821"/>
        <n v="36848"/>
        <n v="36888"/>
        <n v="36960"/>
        <n v="36983"/>
        <n v="36989"/>
        <n v="37008"/>
        <n v="37018"/>
        <n v="37088"/>
        <n v="37139"/>
        <n v="37238"/>
        <n v="37359"/>
        <n v="61170"/>
        <n v="61261"/>
        <n v="61337"/>
        <n v="61567"/>
        <n v="61640"/>
        <n v="61672"/>
        <n v="61754"/>
        <n v="61889"/>
        <n v="61909"/>
        <n v="61947"/>
        <n v="61968"/>
        <n v="62024"/>
        <n v="62606"/>
        <n v="62695"/>
        <n v="62742"/>
        <n v="62810"/>
        <n v="62931"/>
        <n v="62970"/>
        <n v="62982"/>
        <n v="63014"/>
        <n v="63030"/>
        <n v="63149"/>
        <n v="63238"/>
        <n v="63406"/>
        <n v="63612"/>
        <m/>
      </sharedItems>
    </cacheField>
    <cacheField name="ultimate_incurred" numFmtId="0">
      <sharedItems containsString="0" containsBlank="1" containsNumber="1" minValue="13007637.52" maxValue="32926618.14" count="95">
        <n v="13007637.52"/>
        <n v="13129939.76"/>
        <n v="13316238.2646543"/>
        <n v="13316305.87"/>
        <n v="13730405"/>
        <n v="13747495.9"/>
        <n v="13782422.7713762"/>
        <n v="13853877.61"/>
        <n v="14122961.1"/>
        <n v="14263316.8182996"/>
        <n v="14401327.86"/>
        <n v="14458063.19"/>
        <n v="14553164.8040384"/>
        <n v="14557014.39"/>
        <n v="14997759.7"/>
        <n v="15088174.4534972"/>
        <n v="15111588.8317407"/>
        <n v="15431137.55"/>
        <n v="15569363.59"/>
        <n v="15669014.43"/>
        <n v="15701581.01"/>
        <n v="16005761.0146512"/>
        <n v="16542248.8897494"/>
        <n v="18184415.15"/>
        <n v="18355519.35"/>
        <n v="18616341.9"/>
        <n v="18830596.9193565"/>
        <n v="19195392.53"/>
        <n v="19218796.01"/>
        <n v="19367729.43"/>
        <n v="19511456.28"/>
        <n v="19694909.64"/>
        <n v="19743787.57"/>
        <n v="19842903.1161439"/>
        <n v="19974458.81"/>
        <n v="20133312.7"/>
        <n v="20212088.08"/>
        <n v="20351216.44"/>
        <n v="20413991.7725956"/>
        <n v="20470045.6561846"/>
        <n v="20485463.7100013"/>
        <n v="20595607.49"/>
        <n v="20621243.85"/>
        <n v="20780816.42"/>
        <n v="20874371.9865552"/>
        <n v="20967121.96"/>
        <n v="21184441.65"/>
        <n v="21356545.7857144"/>
        <n v="21472717.9268494"/>
        <n v="21572805.55"/>
        <n v="21594313.6594355"/>
        <n v="21598918.1542103"/>
        <n v="21601991.79"/>
        <n v="21687094.79"/>
        <n v="21766028.11"/>
        <n v="21835521.59"/>
        <n v="21905179.49"/>
        <n v="21951078.76"/>
        <n v="22252515.1632932"/>
        <n v="22318087.9591081"/>
        <n v="22468277.5477767"/>
        <n v="22496639.55"/>
        <n v="22631367.3907378"/>
        <n v="22655209.3528912"/>
        <n v="23146706.33"/>
        <n v="23354045.38"/>
        <n v="23503521.64"/>
        <n v="23552371.52"/>
        <n v="24425912.6232392"/>
        <n v="25785972.210812"/>
        <n v="27276622.73"/>
        <n v="27533279.03"/>
        <n v="27924512.84"/>
        <n v="28793088.8"/>
        <n v="28828194.01"/>
        <n v="29051594.14"/>
        <n v="29432808.4252042"/>
        <n v="29615681.36"/>
        <n v="29854722.7047624"/>
        <n v="29916034.7084372"/>
        <n v="30199969.05"/>
        <n v="30318132.12"/>
        <n v="30511006.8360826"/>
        <n v="30526824.66"/>
        <n v="31268287.768332"/>
        <n v="31450682.94"/>
        <n v="31612645.2064803"/>
        <n v="31951714.8378899"/>
        <n v="32359208.32"/>
        <n v="32375680.1470996"/>
        <n v="32649042.17"/>
        <n v="32653911.3063195"/>
        <n v="32857769.24"/>
        <n v="32926618.14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4">
  <r>
    <x v="0"/>
    <x v="0"/>
    <x v="0"/>
    <x v="2"/>
    <x v="26"/>
    <x v="94"/>
  </r>
  <r>
    <x v="0"/>
    <x v="0"/>
    <x v="1"/>
    <x v="2"/>
    <x v="1"/>
    <x v="94"/>
  </r>
  <r>
    <x v="0"/>
    <x v="1"/>
    <x v="0"/>
    <x v="2"/>
    <x v="29"/>
    <x v="94"/>
  </r>
  <r>
    <x v="0"/>
    <x v="1"/>
    <x v="1"/>
    <x v="2"/>
    <x v="4"/>
    <x v="94"/>
  </r>
  <r>
    <x v="0"/>
    <x v="2"/>
    <x v="0"/>
    <x v="2"/>
    <x v="25"/>
    <x v="94"/>
  </r>
  <r>
    <x v="0"/>
    <x v="2"/>
    <x v="1"/>
    <x v="2"/>
    <x v="0"/>
    <x v="94"/>
  </r>
  <r>
    <x v="0"/>
    <x v="3"/>
    <x v="0"/>
    <x v="2"/>
    <x v="27"/>
    <x v="94"/>
  </r>
  <r>
    <x v="0"/>
    <x v="3"/>
    <x v="1"/>
    <x v="2"/>
    <x v="2"/>
    <x v="94"/>
  </r>
  <r>
    <x v="0"/>
    <x v="4"/>
    <x v="0"/>
    <x v="2"/>
    <x v="28"/>
    <x v="94"/>
  </r>
  <r>
    <x v="0"/>
    <x v="4"/>
    <x v="1"/>
    <x v="2"/>
    <x v="3"/>
    <x v="94"/>
  </r>
  <r>
    <x v="0"/>
    <x v="5"/>
    <x v="0"/>
    <x v="2"/>
    <x v="30"/>
    <x v="94"/>
  </r>
  <r>
    <x v="0"/>
    <x v="5"/>
    <x v="1"/>
    <x v="2"/>
    <x v="5"/>
    <x v="94"/>
  </r>
  <r>
    <x v="0"/>
    <x v="6"/>
    <x v="0"/>
    <x v="2"/>
    <x v="32"/>
    <x v="94"/>
  </r>
  <r>
    <x v="0"/>
    <x v="6"/>
    <x v="1"/>
    <x v="2"/>
    <x v="7"/>
    <x v="94"/>
  </r>
  <r>
    <x v="0"/>
    <x v="7"/>
    <x v="0"/>
    <x v="2"/>
    <x v="33"/>
    <x v="94"/>
  </r>
  <r>
    <x v="0"/>
    <x v="7"/>
    <x v="1"/>
    <x v="2"/>
    <x v="8"/>
    <x v="94"/>
  </r>
  <r>
    <x v="0"/>
    <x v="8"/>
    <x v="0"/>
    <x v="2"/>
    <x v="36"/>
    <x v="94"/>
  </r>
  <r>
    <x v="0"/>
    <x v="8"/>
    <x v="1"/>
    <x v="2"/>
    <x v="11"/>
    <x v="94"/>
  </r>
  <r>
    <x v="0"/>
    <x v="9"/>
    <x v="0"/>
    <x v="2"/>
    <x v="34"/>
    <x v="94"/>
  </r>
  <r>
    <x v="0"/>
    <x v="9"/>
    <x v="1"/>
    <x v="2"/>
    <x v="9"/>
    <x v="94"/>
  </r>
  <r>
    <x v="0"/>
    <x v="10"/>
    <x v="0"/>
    <x v="2"/>
    <x v="35"/>
    <x v="94"/>
  </r>
  <r>
    <x v="0"/>
    <x v="10"/>
    <x v="1"/>
    <x v="2"/>
    <x v="10"/>
    <x v="94"/>
  </r>
  <r>
    <x v="0"/>
    <x v="11"/>
    <x v="0"/>
    <x v="2"/>
    <x v="31"/>
    <x v="94"/>
  </r>
  <r>
    <x v="0"/>
    <x v="11"/>
    <x v="1"/>
    <x v="2"/>
    <x v="6"/>
    <x v="94"/>
  </r>
  <r>
    <x v="1"/>
    <x v="0"/>
    <x v="0"/>
    <x v="2"/>
    <x v="38"/>
    <x v="94"/>
  </r>
  <r>
    <x v="1"/>
    <x v="0"/>
    <x v="1"/>
    <x v="2"/>
    <x v="13"/>
    <x v="94"/>
  </r>
  <r>
    <x v="1"/>
    <x v="1"/>
    <x v="0"/>
    <x v="2"/>
    <x v="37"/>
    <x v="94"/>
  </r>
  <r>
    <x v="1"/>
    <x v="1"/>
    <x v="1"/>
    <x v="2"/>
    <x v="12"/>
    <x v="94"/>
  </r>
  <r>
    <x v="1"/>
    <x v="2"/>
    <x v="0"/>
    <x v="2"/>
    <x v="44"/>
    <x v="94"/>
  </r>
  <r>
    <x v="1"/>
    <x v="2"/>
    <x v="1"/>
    <x v="2"/>
    <x v="19"/>
    <x v="94"/>
  </r>
  <r>
    <x v="1"/>
    <x v="3"/>
    <x v="0"/>
    <x v="2"/>
    <x v="39"/>
    <x v="94"/>
  </r>
  <r>
    <x v="1"/>
    <x v="3"/>
    <x v="1"/>
    <x v="2"/>
    <x v="14"/>
    <x v="94"/>
  </r>
  <r>
    <x v="1"/>
    <x v="4"/>
    <x v="0"/>
    <x v="2"/>
    <x v="40"/>
    <x v="94"/>
  </r>
  <r>
    <x v="1"/>
    <x v="4"/>
    <x v="1"/>
    <x v="2"/>
    <x v="15"/>
    <x v="94"/>
  </r>
  <r>
    <x v="1"/>
    <x v="5"/>
    <x v="0"/>
    <x v="2"/>
    <x v="43"/>
    <x v="94"/>
  </r>
  <r>
    <x v="1"/>
    <x v="5"/>
    <x v="1"/>
    <x v="2"/>
    <x v="18"/>
    <x v="94"/>
  </r>
  <r>
    <x v="1"/>
    <x v="6"/>
    <x v="0"/>
    <x v="2"/>
    <x v="45"/>
    <x v="94"/>
  </r>
  <r>
    <x v="1"/>
    <x v="6"/>
    <x v="1"/>
    <x v="2"/>
    <x v="20"/>
    <x v="94"/>
  </r>
  <r>
    <x v="1"/>
    <x v="7"/>
    <x v="0"/>
    <x v="2"/>
    <x v="48"/>
    <x v="94"/>
  </r>
  <r>
    <x v="1"/>
    <x v="7"/>
    <x v="1"/>
    <x v="2"/>
    <x v="23"/>
    <x v="94"/>
  </r>
  <r>
    <x v="1"/>
    <x v="8"/>
    <x v="0"/>
    <x v="2"/>
    <x v="42"/>
    <x v="94"/>
  </r>
  <r>
    <x v="1"/>
    <x v="8"/>
    <x v="1"/>
    <x v="2"/>
    <x v="17"/>
    <x v="94"/>
  </r>
  <r>
    <x v="1"/>
    <x v="9"/>
    <x v="0"/>
    <x v="2"/>
    <x v="41"/>
    <x v="94"/>
  </r>
  <r>
    <x v="1"/>
    <x v="9"/>
    <x v="1"/>
    <x v="2"/>
    <x v="16"/>
    <x v="94"/>
  </r>
  <r>
    <x v="1"/>
    <x v="10"/>
    <x v="0"/>
    <x v="2"/>
    <x v="47"/>
    <x v="94"/>
  </r>
  <r>
    <x v="1"/>
    <x v="10"/>
    <x v="1"/>
    <x v="2"/>
    <x v="22"/>
    <x v="94"/>
  </r>
  <r>
    <x v="1"/>
    <x v="11"/>
    <x v="0"/>
    <x v="2"/>
    <x v="46"/>
    <x v="94"/>
  </r>
  <r>
    <x v="1"/>
    <x v="11"/>
    <x v="1"/>
    <x v="2"/>
    <x v="21"/>
    <x v="94"/>
  </r>
  <r>
    <x v="2"/>
    <x v="0"/>
    <x v="0"/>
    <x v="2"/>
    <x v="49"/>
    <x v="94"/>
  </r>
  <r>
    <x v="2"/>
    <x v="0"/>
    <x v="1"/>
    <x v="2"/>
    <x v="24"/>
    <x v="94"/>
  </r>
  <r>
    <x v="0"/>
    <x v="0"/>
    <x v="0"/>
    <x v="0"/>
    <x v="50"/>
    <x v="37"/>
  </r>
  <r>
    <x v="0"/>
    <x v="0"/>
    <x v="0"/>
    <x v="1"/>
    <x v="50"/>
    <x v="83"/>
  </r>
  <r>
    <x v="0"/>
    <x v="0"/>
    <x v="1"/>
    <x v="0"/>
    <x v="50"/>
    <x v="13"/>
  </r>
  <r>
    <x v="0"/>
    <x v="0"/>
    <x v="1"/>
    <x v="1"/>
    <x v="50"/>
    <x v="55"/>
  </r>
  <r>
    <x v="0"/>
    <x v="1"/>
    <x v="0"/>
    <x v="0"/>
    <x v="50"/>
    <x v="36"/>
  </r>
  <r>
    <x v="0"/>
    <x v="1"/>
    <x v="0"/>
    <x v="1"/>
    <x v="50"/>
    <x v="81"/>
  </r>
  <r>
    <x v="0"/>
    <x v="1"/>
    <x v="1"/>
    <x v="0"/>
    <x v="50"/>
    <x v="11"/>
  </r>
  <r>
    <x v="0"/>
    <x v="1"/>
    <x v="1"/>
    <x v="1"/>
    <x v="50"/>
    <x v="53"/>
  </r>
  <r>
    <x v="0"/>
    <x v="2"/>
    <x v="0"/>
    <x v="0"/>
    <x v="50"/>
    <x v="35"/>
  </r>
  <r>
    <x v="0"/>
    <x v="2"/>
    <x v="0"/>
    <x v="1"/>
    <x v="50"/>
    <x v="80"/>
  </r>
  <r>
    <x v="0"/>
    <x v="2"/>
    <x v="1"/>
    <x v="0"/>
    <x v="50"/>
    <x v="10"/>
  </r>
  <r>
    <x v="0"/>
    <x v="2"/>
    <x v="1"/>
    <x v="1"/>
    <x v="50"/>
    <x v="52"/>
  </r>
  <r>
    <x v="0"/>
    <x v="3"/>
    <x v="0"/>
    <x v="0"/>
    <x v="50"/>
    <x v="27"/>
  </r>
  <r>
    <x v="0"/>
    <x v="3"/>
    <x v="0"/>
    <x v="1"/>
    <x v="50"/>
    <x v="73"/>
  </r>
  <r>
    <x v="0"/>
    <x v="3"/>
    <x v="1"/>
    <x v="0"/>
    <x v="50"/>
    <x v="4"/>
  </r>
  <r>
    <x v="0"/>
    <x v="3"/>
    <x v="1"/>
    <x v="1"/>
    <x v="50"/>
    <x v="41"/>
  </r>
  <r>
    <x v="0"/>
    <x v="4"/>
    <x v="0"/>
    <x v="0"/>
    <x v="50"/>
    <x v="28"/>
  </r>
  <r>
    <x v="0"/>
    <x v="4"/>
    <x v="0"/>
    <x v="1"/>
    <x v="50"/>
    <x v="74"/>
  </r>
  <r>
    <x v="0"/>
    <x v="4"/>
    <x v="1"/>
    <x v="0"/>
    <x v="50"/>
    <x v="5"/>
  </r>
  <r>
    <x v="0"/>
    <x v="4"/>
    <x v="1"/>
    <x v="1"/>
    <x v="50"/>
    <x v="42"/>
  </r>
  <r>
    <x v="0"/>
    <x v="5"/>
    <x v="0"/>
    <x v="0"/>
    <x v="50"/>
    <x v="25"/>
  </r>
  <r>
    <x v="0"/>
    <x v="5"/>
    <x v="0"/>
    <x v="1"/>
    <x v="50"/>
    <x v="72"/>
  </r>
  <r>
    <x v="0"/>
    <x v="5"/>
    <x v="1"/>
    <x v="0"/>
    <x v="50"/>
    <x v="3"/>
  </r>
  <r>
    <x v="0"/>
    <x v="5"/>
    <x v="1"/>
    <x v="1"/>
    <x v="50"/>
    <x v="34"/>
  </r>
  <r>
    <x v="0"/>
    <x v="6"/>
    <x v="0"/>
    <x v="0"/>
    <x v="50"/>
    <x v="24"/>
  </r>
  <r>
    <x v="0"/>
    <x v="6"/>
    <x v="0"/>
    <x v="1"/>
    <x v="50"/>
    <x v="71"/>
  </r>
  <r>
    <x v="0"/>
    <x v="6"/>
    <x v="1"/>
    <x v="0"/>
    <x v="50"/>
    <x v="1"/>
  </r>
  <r>
    <x v="0"/>
    <x v="6"/>
    <x v="1"/>
    <x v="1"/>
    <x v="50"/>
    <x v="31"/>
  </r>
  <r>
    <x v="0"/>
    <x v="7"/>
    <x v="0"/>
    <x v="0"/>
    <x v="50"/>
    <x v="23"/>
  </r>
  <r>
    <x v="0"/>
    <x v="7"/>
    <x v="0"/>
    <x v="1"/>
    <x v="50"/>
    <x v="70"/>
  </r>
  <r>
    <x v="0"/>
    <x v="7"/>
    <x v="1"/>
    <x v="0"/>
    <x v="50"/>
    <x v="0"/>
  </r>
  <r>
    <x v="0"/>
    <x v="7"/>
    <x v="1"/>
    <x v="1"/>
    <x v="50"/>
    <x v="30"/>
  </r>
  <r>
    <x v="0"/>
    <x v="8"/>
    <x v="0"/>
    <x v="0"/>
    <x v="50"/>
    <x v="29"/>
  </r>
  <r>
    <x v="0"/>
    <x v="8"/>
    <x v="0"/>
    <x v="1"/>
    <x v="50"/>
    <x v="75"/>
  </r>
  <r>
    <x v="0"/>
    <x v="8"/>
    <x v="1"/>
    <x v="0"/>
    <x v="50"/>
    <x v="7"/>
  </r>
  <r>
    <x v="0"/>
    <x v="8"/>
    <x v="1"/>
    <x v="1"/>
    <x v="50"/>
    <x v="43"/>
  </r>
  <r>
    <x v="0"/>
    <x v="9"/>
    <x v="0"/>
    <x v="0"/>
    <x v="50"/>
    <x v="32"/>
  </r>
  <r>
    <x v="0"/>
    <x v="9"/>
    <x v="0"/>
    <x v="1"/>
    <x v="50"/>
    <x v="77"/>
  </r>
  <r>
    <x v="0"/>
    <x v="9"/>
    <x v="1"/>
    <x v="0"/>
    <x v="50"/>
    <x v="8"/>
  </r>
  <r>
    <x v="0"/>
    <x v="9"/>
    <x v="1"/>
    <x v="1"/>
    <x v="50"/>
    <x v="46"/>
  </r>
  <r>
    <x v="0"/>
    <x v="10"/>
    <x v="0"/>
    <x v="0"/>
    <x v="50"/>
    <x v="49"/>
  </r>
  <r>
    <x v="0"/>
    <x v="10"/>
    <x v="0"/>
    <x v="1"/>
    <x v="50"/>
    <x v="88"/>
  </r>
  <r>
    <x v="0"/>
    <x v="10"/>
    <x v="1"/>
    <x v="0"/>
    <x v="50"/>
    <x v="17"/>
  </r>
  <r>
    <x v="0"/>
    <x v="10"/>
    <x v="1"/>
    <x v="1"/>
    <x v="50"/>
    <x v="64"/>
  </r>
  <r>
    <x v="0"/>
    <x v="11"/>
    <x v="0"/>
    <x v="0"/>
    <x v="50"/>
    <x v="57"/>
  </r>
  <r>
    <x v="0"/>
    <x v="11"/>
    <x v="0"/>
    <x v="1"/>
    <x v="50"/>
    <x v="93"/>
  </r>
  <r>
    <x v="0"/>
    <x v="11"/>
    <x v="1"/>
    <x v="0"/>
    <x v="50"/>
    <x v="20"/>
  </r>
  <r>
    <x v="0"/>
    <x v="11"/>
    <x v="1"/>
    <x v="1"/>
    <x v="50"/>
    <x v="67"/>
  </r>
  <r>
    <x v="1"/>
    <x v="0"/>
    <x v="0"/>
    <x v="0"/>
    <x v="50"/>
    <x v="54"/>
  </r>
  <r>
    <x v="1"/>
    <x v="0"/>
    <x v="0"/>
    <x v="1"/>
    <x v="50"/>
    <x v="90"/>
  </r>
  <r>
    <x v="1"/>
    <x v="0"/>
    <x v="1"/>
    <x v="0"/>
    <x v="50"/>
    <x v="18"/>
  </r>
  <r>
    <x v="1"/>
    <x v="0"/>
    <x v="1"/>
    <x v="1"/>
    <x v="50"/>
    <x v="65"/>
  </r>
  <r>
    <x v="1"/>
    <x v="1"/>
    <x v="0"/>
    <x v="0"/>
    <x v="50"/>
    <x v="56"/>
  </r>
  <r>
    <x v="1"/>
    <x v="1"/>
    <x v="0"/>
    <x v="1"/>
    <x v="50"/>
    <x v="92"/>
  </r>
  <r>
    <x v="1"/>
    <x v="1"/>
    <x v="1"/>
    <x v="0"/>
    <x v="50"/>
    <x v="19"/>
  </r>
  <r>
    <x v="1"/>
    <x v="1"/>
    <x v="1"/>
    <x v="1"/>
    <x v="50"/>
    <x v="66"/>
  </r>
  <r>
    <x v="1"/>
    <x v="2"/>
    <x v="0"/>
    <x v="0"/>
    <x v="50"/>
    <x v="45"/>
  </r>
  <r>
    <x v="1"/>
    <x v="2"/>
    <x v="0"/>
    <x v="1"/>
    <x v="50"/>
    <x v="85"/>
  </r>
  <r>
    <x v="1"/>
    <x v="2"/>
    <x v="1"/>
    <x v="0"/>
    <x v="50"/>
    <x v="14"/>
  </r>
  <r>
    <x v="1"/>
    <x v="2"/>
    <x v="1"/>
    <x v="1"/>
    <x v="50"/>
    <x v="61"/>
  </r>
  <r>
    <x v="1"/>
    <x v="3"/>
    <x v="0"/>
    <x v="0"/>
    <x v="50"/>
    <x v="40"/>
  </r>
  <r>
    <x v="1"/>
    <x v="3"/>
    <x v="0"/>
    <x v="1"/>
    <x v="50"/>
    <x v="86"/>
  </r>
  <r>
    <x v="1"/>
    <x v="3"/>
    <x v="1"/>
    <x v="0"/>
    <x v="50"/>
    <x v="15"/>
  </r>
  <r>
    <x v="1"/>
    <x v="3"/>
    <x v="1"/>
    <x v="1"/>
    <x v="50"/>
    <x v="62"/>
  </r>
  <r>
    <x v="1"/>
    <x v="4"/>
    <x v="0"/>
    <x v="0"/>
    <x v="50"/>
    <x v="33"/>
  </r>
  <r>
    <x v="1"/>
    <x v="4"/>
    <x v="0"/>
    <x v="1"/>
    <x v="50"/>
    <x v="78"/>
  </r>
  <r>
    <x v="1"/>
    <x v="4"/>
    <x v="1"/>
    <x v="0"/>
    <x v="50"/>
    <x v="6"/>
  </r>
  <r>
    <x v="1"/>
    <x v="4"/>
    <x v="1"/>
    <x v="1"/>
    <x v="50"/>
    <x v="47"/>
  </r>
  <r>
    <x v="1"/>
    <x v="5"/>
    <x v="0"/>
    <x v="0"/>
    <x v="50"/>
    <x v="26"/>
  </r>
  <r>
    <x v="1"/>
    <x v="5"/>
    <x v="0"/>
    <x v="1"/>
    <x v="50"/>
    <x v="76"/>
  </r>
  <r>
    <x v="1"/>
    <x v="5"/>
    <x v="1"/>
    <x v="0"/>
    <x v="50"/>
    <x v="2"/>
  </r>
  <r>
    <x v="1"/>
    <x v="5"/>
    <x v="1"/>
    <x v="1"/>
    <x v="50"/>
    <x v="44"/>
  </r>
  <r>
    <x v="1"/>
    <x v="6"/>
    <x v="0"/>
    <x v="0"/>
    <x v="50"/>
    <x v="39"/>
  </r>
  <r>
    <x v="1"/>
    <x v="6"/>
    <x v="0"/>
    <x v="1"/>
    <x v="50"/>
    <x v="79"/>
  </r>
  <r>
    <x v="1"/>
    <x v="6"/>
    <x v="1"/>
    <x v="0"/>
    <x v="50"/>
    <x v="16"/>
  </r>
  <r>
    <x v="1"/>
    <x v="6"/>
    <x v="1"/>
    <x v="1"/>
    <x v="50"/>
    <x v="48"/>
  </r>
  <r>
    <x v="1"/>
    <x v="7"/>
    <x v="0"/>
    <x v="0"/>
    <x v="50"/>
    <x v="38"/>
  </r>
  <r>
    <x v="1"/>
    <x v="7"/>
    <x v="0"/>
    <x v="1"/>
    <x v="50"/>
    <x v="82"/>
  </r>
  <r>
    <x v="1"/>
    <x v="7"/>
    <x v="1"/>
    <x v="0"/>
    <x v="50"/>
    <x v="9"/>
  </r>
  <r>
    <x v="1"/>
    <x v="7"/>
    <x v="1"/>
    <x v="1"/>
    <x v="50"/>
    <x v="60"/>
  </r>
  <r>
    <x v="1"/>
    <x v="8"/>
    <x v="0"/>
    <x v="0"/>
    <x v="50"/>
    <x v="50"/>
  </r>
  <r>
    <x v="1"/>
    <x v="8"/>
    <x v="0"/>
    <x v="1"/>
    <x v="50"/>
    <x v="87"/>
  </r>
  <r>
    <x v="1"/>
    <x v="8"/>
    <x v="1"/>
    <x v="0"/>
    <x v="50"/>
    <x v="12"/>
  </r>
  <r>
    <x v="1"/>
    <x v="8"/>
    <x v="1"/>
    <x v="1"/>
    <x v="50"/>
    <x v="63"/>
  </r>
  <r>
    <x v="1"/>
    <x v="9"/>
    <x v="0"/>
    <x v="0"/>
    <x v="50"/>
    <x v="58"/>
  </r>
  <r>
    <x v="1"/>
    <x v="9"/>
    <x v="0"/>
    <x v="1"/>
    <x v="50"/>
    <x v="89"/>
  </r>
  <r>
    <x v="1"/>
    <x v="9"/>
    <x v="1"/>
    <x v="0"/>
    <x v="50"/>
    <x v="22"/>
  </r>
  <r>
    <x v="1"/>
    <x v="9"/>
    <x v="1"/>
    <x v="1"/>
    <x v="50"/>
    <x v="68"/>
  </r>
  <r>
    <x v="1"/>
    <x v="10"/>
    <x v="0"/>
    <x v="0"/>
    <x v="50"/>
    <x v="51"/>
  </r>
  <r>
    <x v="1"/>
    <x v="10"/>
    <x v="0"/>
    <x v="1"/>
    <x v="50"/>
    <x v="84"/>
  </r>
  <r>
    <x v="1"/>
    <x v="10"/>
    <x v="1"/>
    <x v="0"/>
    <x v="50"/>
    <x v="21"/>
  </r>
  <r>
    <x v="1"/>
    <x v="10"/>
    <x v="1"/>
    <x v="1"/>
    <x v="50"/>
    <x v="59"/>
  </r>
  <r>
    <x v="1"/>
    <x v="11"/>
    <x v="0"/>
    <x v="0"/>
    <x v="50"/>
    <x v="69"/>
  </r>
  <r>
    <x v="1"/>
    <x v="11"/>
    <x v="0"/>
    <x v="1"/>
    <x v="50"/>
    <x v="9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mbr_pivot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C2:P7" firstHeaderRow="1" firstDataRow="2" firstDataCol="1"/>
  <pivotFields count="6">
    <pivotField axis="axisRow" showAll="0">
      <items count="4">
        <item x="0"/>
        <item x="1"/>
        <item x="2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member_months" fld="4" subtotal="sum" numFmtId="165"/>
  </dataFields>
  <formats count="10">
    <format dxfId="0">
      <pivotArea dataOnly="0" outline="0" fieldPosition="0"/>
    </format>
    <format dxfId="1">
      <pivotArea outline="0" fieldPosition="0"/>
    </format>
    <format dxfId="2">
      <pivotArea dataOnly="0" labelOnly="1" outline="0" fieldPosition="0"/>
    </format>
    <format dxfId="3">
      <pivotArea dataOnly="0" labelOnly="1" outline="0" fieldPosition="0"/>
    </format>
    <format dxfId="4">
      <pivotArea dataOnly="0" labelOnly="1" outline="0" fieldPosition="0"/>
    </format>
    <format dxfId="5">
      <pivotArea dataOnly="0" labelOnly="1" outline="0" fieldPosition="0"/>
    </format>
    <format dxfId="6">
      <pivotArea dataOnly="0" labelOnly="1" fieldPosition="0">
        <references count="1">
          <reference field="0" count="1"/>
        </references>
      </pivotArea>
    </format>
    <format dxfId="7">
      <pivotArea dataOnly="0" labelOnly="1" outline="0" fieldPosition="0"/>
    </format>
    <format dxfId="8">
      <pivotArea dataOnly="0" labelOnly="1" fieldPosition="0">
        <references count="1">
          <reference field="1" count="1"/>
        </references>
      </pivotArea>
    </format>
    <format dxfId="9">
      <pivotArea dataOnly="0" labelOnly="1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clms_pivot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C20:P25" firstHeaderRow="1" firstDataRow="2" firstDataCol="1"/>
  <pivotFields count="6">
    <pivotField axis="axisRow" showAll="0">
      <items count="4">
        <item x="0"/>
        <item x="1"/>
        <item x="2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ultimate_incurred" fld="5" subtotal="sum" numFmtId="173"/>
  </dataFields>
  <formats count="11">
    <format dxfId="10">
      <pivotArea dataOnly="0" outline="0" fieldPosition="0"/>
    </format>
    <format dxfId="11">
      <pivotArea outline="0" fieldPosition="0"/>
    </format>
    <format dxfId="12">
      <pivotArea dataOnly="0" labelOnly="1" outline="0" fieldPosition="0"/>
    </format>
    <format dxfId="13">
      <pivotArea dataOnly="0" labelOnly="1" outline="0" fieldPosition="0"/>
    </format>
    <format dxfId="14">
      <pivotArea dataOnly="0" labelOnly="1" outline="0" fieldPosition="0"/>
    </format>
    <format dxfId="15">
      <pivotArea dataOnly="0" labelOnly="1" outline="0" fieldPosition="0"/>
    </format>
    <format dxfId="16">
      <pivotArea dataOnly="0" labelOnly="1" fieldPosition="0">
        <references count="1">
          <reference field="0" count="1"/>
        </references>
      </pivotArea>
    </format>
    <format dxfId="17">
      <pivotArea dataOnly="0" labelOnly="1" outline="0" fieldPosition="0"/>
    </format>
    <format dxfId="18">
      <pivotArea dataOnly="0" labelOnly="1" fieldPosition="0">
        <references count="1">
          <reference field="1" count="1"/>
        </references>
      </pivotArea>
    </format>
    <format dxfId="19">
      <pivotArea dataOnly="0" labelOnly="1" outline="0" fieldPosition="0"/>
    </format>
    <format dxfId="2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PAI">
  <a:themeElements>
    <a:clrScheme name="PAI">
      <a:dk1>
        <a:srgbClr val="001A23"/>
      </a:dk1>
      <a:lt1>
        <a:srgbClr val="FFFFFF"/>
      </a:lt1>
      <a:dk2>
        <a:srgbClr val="4B4F52"/>
      </a:dk2>
      <a:lt2>
        <a:srgbClr val="E6EAEA"/>
      </a:lt2>
      <a:accent1>
        <a:srgbClr val="2AA198"/>
      </a:accent1>
      <a:accent2>
        <a:srgbClr val="258B84"/>
      </a:accent2>
      <a:accent3>
        <a:srgbClr val="0B7C92"/>
      </a:accent3>
      <a:accent4>
        <a:srgbClr val="04272D"/>
      </a:accent4>
      <a:accent5>
        <a:srgbClr val="FDB933"/>
      </a:accent5>
      <a:accent6>
        <a:srgbClr val="8E6FB1"/>
      </a:accent6>
      <a:hlink>
        <a:srgbClr val="0B7C92"/>
      </a:hlink>
      <a:folHlink>
        <a:srgbClr val="4B4F52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73046875" defaultRowHeight="12" customHeight="false" zeroHeight="false" outlineLevelRow="0" outlineLevelCol="0"/>
  <cols>
    <col collapsed="false" customWidth="true" hidden="false" outlineLevel="0" max="1" min="1" style="1" width="13.45"/>
    <col collapsed="false" customWidth="false" hidden="false" outlineLevel="0" max="16384" min="2" style="1" width="8.73"/>
  </cols>
  <sheetData>
    <row r="2" customFormat="false" ht="12" hidden="false" customHeight="false" outlineLevel="0" collapsed="false">
      <c r="A2" s="2" t="s">
        <v>0</v>
      </c>
    </row>
    <row r="4" customFormat="false" ht="12" hidden="false" customHeight="false" outlineLevel="0" collapsed="false">
      <c r="A4" s="3" t="s">
        <v>1</v>
      </c>
    </row>
    <row r="5" customFormat="false" ht="12" hidden="false" customHeight="false" outlineLevel="0" collapsed="false">
      <c r="A5" s="4" t="s">
        <v>2</v>
      </c>
      <c r="B5" s="5" t="n">
        <v>46053</v>
      </c>
      <c r="C5" s="6" t="s">
        <v>3</v>
      </c>
    </row>
    <row r="6" customFormat="false" ht="12" hidden="false" customHeight="false" outlineLevel="0" collapsed="false">
      <c r="A6" s="4" t="s">
        <v>4</v>
      </c>
      <c r="B6" s="1" t="n">
        <f aca="false">YEAR(close_date)</f>
        <v>2026</v>
      </c>
    </row>
    <row r="7" customFormat="false" ht="12" hidden="false" customHeight="false" outlineLevel="0" collapsed="false">
      <c r="A7" s="4" t="s">
        <v>5</v>
      </c>
      <c r="B7" s="1" t="n">
        <f aca="false">MONTH(close_date)</f>
        <v>1</v>
      </c>
    </row>
    <row r="9" customFormat="false" ht="12" hidden="false" customHeight="false" outlineLevel="0" collapsed="false">
      <c r="A9" s="4" t="s">
        <v>6</v>
      </c>
      <c r="B9" s="7" t="n">
        <f aca="false">DATE(YEAR(close_date),MONTH(close_date)-1,0)</f>
        <v>45991</v>
      </c>
    </row>
    <row r="10" customFormat="false" ht="12" hidden="false" customHeight="false" outlineLevel="0" collapsed="false">
      <c r="A10" s="4" t="s">
        <v>7</v>
      </c>
      <c r="B10" s="1" t="n">
        <f aca="false">YEAR(incurred_date)</f>
        <v>2025</v>
      </c>
    </row>
    <row r="11" customFormat="false" ht="12" hidden="false" customHeight="false" outlineLevel="0" collapsed="false">
      <c r="A11" s="4" t="s">
        <v>8</v>
      </c>
      <c r="B11" s="1" t="n">
        <f aca="false">MONTH(incurred_date)</f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I19" activeCellId="0" sqref="I19"/>
    </sheetView>
  </sheetViews>
  <sheetFormatPr defaultColWidth="8.73046875" defaultRowHeight="12" customHeight="true" zeroHeight="false" outlineLevelRow="0" outlineLevelCol="0"/>
  <cols>
    <col collapsed="false" customWidth="false" hidden="false" outlineLevel="0" max="4" min="1" style="1" width="8.73"/>
    <col collapsed="false" customWidth="false" hidden="false" outlineLevel="0" max="5" min="5" style="8" width="8.73"/>
    <col collapsed="false" customWidth="false" hidden="false" outlineLevel="0" max="16384" min="6" style="1" width="8.73"/>
  </cols>
  <sheetData>
    <row r="1" customFormat="false" ht="12" hidden="false" customHeight="true" outlineLevel="0" collapsed="false">
      <c r="A1" s="1" t="s">
        <v>9</v>
      </c>
    </row>
    <row r="6" customFormat="false" ht="12" hidden="false" customHeight="true" outlineLevel="0" collapsed="false">
      <c r="A6" s="4" t="s">
        <v>10</v>
      </c>
      <c r="B6" s="4" t="s">
        <v>11</v>
      </c>
      <c r="C6" s="4" t="s">
        <v>12</v>
      </c>
      <c r="D6" s="4" t="s">
        <v>13</v>
      </c>
      <c r="E6" s="9" t="s">
        <v>14</v>
      </c>
    </row>
    <row r="7" customFormat="false" ht="12" hidden="false" customHeight="true" outlineLevel="0" collapsed="false">
      <c r="A7" s="2" t="s">
        <v>15</v>
      </c>
      <c r="B7" s="2" t="s">
        <v>16</v>
      </c>
      <c r="C7" s="2" t="n">
        <v>0</v>
      </c>
      <c r="D7" s="2" t="s">
        <v>17</v>
      </c>
      <c r="E7" s="10" t="n">
        <v>0.026009</v>
      </c>
    </row>
    <row r="8" customFormat="false" ht="12" hidden="false" customHeight="true" outlineLevel="0" collapsed="false">
      <c r="A8" s="2" t="s">
        <v>15</v>
      </c>
      <c r="B8" s="2" t="s">
        <v>16</v>
      </c>
      <c r="C8" s="2" t="n">
        <v>1</v>
      </c>
      <c r="D8" s="2" t="s">
        <v>18</v>
      </c>
      <c r="E8" s="10" t="n">
        <v>0.377341</v>
      </c>
    </row>
    <row r="9" customFormat="false" ht="12" hidden="false" customHeight="true" outlineLevel="0" collapsed="false">
      <c r="A9" s="2" t="s">
        <v>15</v>
      </c>
      <c r="B9" s="2" t="s">
        <v>16</v>
      </c>
      <c r="C9" s="2" t="n">
        <v>2</v>
      </c>
      <c r="D9" s="2" t="s">
        <v>19</v>
      </c>
      <c r="E9" s="10" t="n">
        <v>0.655611</v>
      </c>
    </row>
    <row r="10" customFormat="false" ht="12" hidden="false" customHeight="true" outlineLevel="0" collapsed="false">
      <c r="A10" s="2" t="s">
        <v>15</v>
      </c>
      <c r="B10" s="2" t="s">
        <v>16</v>
      </c>
      <c r="C10" s="2" t="n">
        <v>3</v>
      </c>
      <c r="D10" s="2" t="s">
        <v>20</v>
      </c>
      <c r="E10" s="10" t="n">
        <v>0.807872</v>
      </c>
    </row>
    <row r="11" customFormat="false" ht="12" hidden="false" customHeight="true" outlineLevel="0" collapsed="false">
      <c r="A11" s="2" t="s">
        <v>15</v>
      </c>
      <c r="B11" s="2" t="s">
        <v>16</v>
      </c>
      <c r="C11" s="2" t="n">
        <v>4</v>
      </c>
      <c r="D11" s="2" t="s">
        <v>21</v>
      </c>
      <c r="E11" s="10" t="n">
        <v>0.88459</v>
      </c>
    </row>
    <row r="12" customFormat="false" ht="12" hidden="false" customHeight="true" outlineLevel="0" collapsed="false">
      <c r="A12" s="2" t="s">
        <v>15</v>
      </c>
      <c r="B12" s="2" t="s">
        <v>16</v>
      </c>
      <c r="C12" s="2" t="n">
        <v>5</v>
      </c>
      <c r="D12" s="2" t="s">
        <v>22</v>
      </c>
      <c r="E12" s="10" t="n">
        <v>0.931521</v>
      </c>
    </row>
    <row r="13" customFormat="false" ht="12" hidden="false" customHeight="true" outlineLevel="0" collapsed="false">
      <c r="A13" s="2" t="s">
        <v>15</v>
      </c>
      <c r="B13" s="2" t="s">
        <v>16</v>
      </c>
      <c r="C13" s="2" t="n">
        <v>6</v>
      </c>
      <c r="D13" s="2" t="s">
        <v>23</v>
      </c>
      <c r="E13" s="10" t="n">
        <v>0.96482</v>
      </c>
    </row>
    <row r="14" customFormat="false" ht="12" hidden="false" customHeight="true" outlineLevel="0" collapsed="false">
      <c r="A14" s="2" t="s">
        <v>15</v>
      </c>
      <c r="B14" s="2" t="s">
        <v>16</v>
      </c>
      <c r="C14" s="2" t="n">
        <v>7</v>
      </c>
      <c r="D14" s="2" t="s">
        <v>24</v>
      </c>
      <c r="E14" s="10" t="n">
        <v>0.979211</v>
      </c>
    </row>
    <row r="15" customFormat="false" ht="12" hidden="false" customHeight="true" outlineLevel="0" collapsed="false">
      <c r="A15" s="2" t="s">
        <v>15</v>
      </c>
      <c r="B15" s="2" t="s">
        <v>16</v>
      </c>
      <c r="C15" s="2" t="n">
        <v>8</v>
      </c>
      <c r="D15" s="2" t="s">
        <v>25</v>
      </c>
      <c r="E15" s="10" t="n">
        <v>0.988369</v>
      </c>
    </row>
    <row r="16" customFormat="false" ht="12" hidden="false" customHeight="true" outlineLevel="0" collapsed="false">
      <c r="A16" s="2" t="s">
        <v>15</v>
      </c>
      <c r="B16" s="2" t="s">
        <v>16</v>
      </c>
      <c r="C16" s="2" t="n">
        <v>9</v>
      </c>
      <c r="D16" s="2" t="s">
        <v>26</v>
      </c>
      <c r="E16" s="10" t="n">
        <v>0.996032</v>
      </c>
    </row>
    <row r="17" customFormat="false" ht="12" hidden="false" customHeight="true" outlineLevel="0" collapsed="false">
      <c r="A17" s="2" t="s">
        <v>15</v>
      </c>
      <c r="B17" s="2" t="s">
        <v>16</v>
      </c>
      <c r="C17" s="2" t="n">
        <v>10</v>
      </c>
      <c r="D17" s="2" t="s">
        <v>27</v>
      </c>
      <c r="E17" s="10" t="n">
        <v>1</v>
      </c>
    </row>
    <row r="18" customFormat="false" ht="12" hidden="false" customHeight="true" outlineLevel="0" collapsed="false">
      <c r="A18" s="2" t="s">
        <v>15</v>
      </c>
      <c r="B18" s="2" t="s">
        <v>16</v>
      </c>
      <c r="C18" s="2" t="n">
        <v>11</v>
      </c>
      <c r="D18" s="2" t="s">
        <v>28</v>
      </c>
      <c r="E18" s="10" t="n">
        <v>1</v>
      </c>
    </row>
    <row r="19" customFormat="false" ht="12" hidden="false" customHeight="true" outlineLevel="0" collapsed="false">
      <c r="A19" s="2" t="s">
        <v>15</v>
      </c>
      <c r="B19" s="2" t="s">
        <v>16</v>
      </c>
      <c r="C19" s="2" t="n">
        <v>12</v>
      </c>
      <c r="D19" s="2" t="s">
        <v>29</v>
      </c>
      <c r="E19" s="10" t="n">
        <v>1</v>
      </c>
    </row>
    <row r="20" customFormat="false" ht="12" hidden="false" customHeight="true" outlineLevel="0" collapsed="false">
      <c r="A20" s="2" t="s">
        <v>15</v>
      </c>
      <c r="B20" s="2" t="s">
        <v>16</v>
      </c>
      <c r="C20" s="2" t="n">
        <v>13</v>
      </c>
      <c r="D20" s="2" t="s">
        <v>30</v>
      </c>
      <c r="E20" s="10" t="n">
        <v>1</v>
      </c>
    </row>
    <row r="21" customFormat="false" ht="12" hidden="false" customHeight="true" outlineLevel="0" collapsed="false">
      <c r="A21" s="2" t="s">
        <v>15</v>
      </c>
      <c r="B21" s="2" t="s">
        <v>16</v>
      </c>
      <c r="C21" s="2" t="n">
        <v>14</v>
      </c>
      <c r="D21" s="2" t="s">
        <v>31</v>
      </c>
      <c r="E21" s="10" t="n">
        <v>1</v>
      </c>
    </row>
    <row r="22" customFormat="false" ht="12" hidden="false" customHeight="true" outlineLevel="0" collapsed="false">
      <c r="A22" s="2" t="s">
        <v>15</v>
      </c>
      <c r="B22" s="2" t="s">
        <v>16</v>
      </c>
      <c r="C22" s="2" t="n">
        <v>15</v>
      </c>
      <c r="D22" s="2" t="s">
        <v>32</v>
      </c>
      <c r="E22" s="10" t="n">
        <v>1</v>
      </c>
    </row>
    <row r="23" customFormat="false" ht="12" hidden="false" customHeight="true" outlineLevel="0" collapsed="false">
      <c r="A23" s="2" t="s">
        <v>15</v>
      </c>
      <c r="B23" s="2" t="s">
        <v>16</v>
      </c>
      <c r="C23" s="2" t="n">
        <v>16</v>
      </c>
      <c r="D23" s="2" t="s">
        <v>33</v>
      </c>
      <c r="E23" s="10" t="n">
        <v>1</v>
      </c>
    </row>
    <row r="24" customFormat="false" ht="12" hidden="false" customHeight="true" outlineLevel="0" collapsed="false">
      <c r="A24" s="2" t="s">
        <v>15</v>
      </c>
      <c r="B24" s="2" t="s">
        <v>16</v>
      </c>
      <c r="C24" s="2" t="n">
        <v>17</v>
      </c>
      <c r="D24" s="2" t="s">
        <v>34</v>
      </c>
      <c r="E24" s="10" t="n">
        <v>1</v>
      </c>
    </row>
    <row r="25" customFormat="false" ht="12" hidden="false" customHeight="true" outlineLevel="0" collapsed="false">
      <c r="A25" s="2" t="s">
        <v>15</v>
      </c>
      <c r="B25" s="2" t="s">
        <v>16</v>
      </c>
      <c r="C25" s="2" t="n">
        <v>18</v>
      </c>
      <c r="D25" s="2" t="s">
        <v>35</v>
      </c>
      <c r="E25" s="10" t="n">
        <v>1</v>
      </c>
    </row>
    <row r="26" customFormat="false" ht="12" hidden="false" customHeight="true" outlineLevel="0" collapsed="false">
      <c r="A26" s="2" t="s">
        <v>15</v>
      </c>
      <c r="B26" s="2" t="s">
        <v>16</v>
      </c>
      <c r="C26" s="2" t="n">
        <v>19</v>
      </c>
      <c r="D26" s="2" t="s">
        <v>36</v>
      </c>
      <c r="E26" s="10" t="n">
        <v>1</v>
      </c>
    </row>
    <row r="27" customFormat="false" ht="12" hidden="false" customHeight="true" outlineLevel="0" collapsed="false">
      <c r="A27" s="2" t="s">
        <v>15</v>
      </c>
      <c r="B27" s="2" t="s">
        <v>16</v>
      </c>
      <c r="C27" s="2" t="n">
        <v>20</v>
      </c>
      <c r="D27" s="2" t="s">
        <v>37</v>
      </c>
      <c r="E27" s="10" t="n">
        <v>1</v>
      </c>
    </row>
    <row r="28" customFormat="false" ht="12" hidden="false" customHeight="true" outlineLevel="0" collapsed="false">
      <c r="A28" s="2" t="s">
        <v>15</v>
      </c>
      <c r="B28" s="2" t="s">
        <v>16</v>
      </c>
      <c r="C28" s="2" t="n">
        <v>21</v>
      </c>
      <c r="D28" s="2" t="s">
        <v>38</v>
      </c>
      <c r="E28" s="10" t="n">
        <v>1</v>
      </c>
    </row>
    <row r="29" customFormat="false" ht="12" hidden="false" customHeight="true" outlineLevel="0" collapsed="false">
      <c r="A29" s="2" t="s">
        <v>15</v>
      </c>
      <c r="B29" s="2" t="s">
        <v>16</v>
      </c>
      <c r="C29" s="2" t="n">
        <v>22</v>
      </c>
      <c r="D29" s="2" t="s">
        <v>39</v>
      </c>
      <c r="E29" s="10" t="n">
        <v>1</v>
      </c>
    </row>
    <row r="30" customFormat="false" ht="12" hidden="false" customHeight="true" outlineLevel="0" collapsed="false">
      <c r="A30" s="2" t="s">
        <v>15</v>
      </c>
      <c r="B30" s="2" t="s">
        <v>16</v>
      </c>
      <c r="C30" s="2" t="n">
        <v>23</v>
      </c>
      <c r="D30" s="2" t="s">
        <v>40</v>
      </c>
      <c r="E30" s="10" t="n">
        <v>1</v>
      </c>
    </row>
    <row r="31" customFormat="false" ht="12" hidden="false" customHeight="true" outlineLevel="0" collapsed="false">
      <c r="A31" s="2" t="s">
        <v>15</v>
      </c>
      <c r="B31" s="2" t="s">
        <v>16</v>
      </c>
      <c r="C31" s="2" t="n">
        <v>24</v>
      </c>
      <c r="D31" s="2" t="s">
        <v>41</v>
      </c>
      <c r="E31" s="10" t="n">
        <v>1</v>
      </c>
    </row>
    <row r="32" customFormat="false" ht="12" hidden="false" customHeight="true" outlineLevel="0" collapsed="false">
      <c r="A32" s="2" t="s">
        <v>15</v>
      </c>
      <c r="B32" s="2" t="s">
        <v>16</v>
      </c>
      <c r="C32" s="2" t="n">
        <v>25</v>
      </c>
      <c r="D32" s="2" t="s">
        <v>42</v>
      </c>
      <c r="E32" s="10" t="n">
        <v>1</v>
      </c>
    </row>
    <row r="33" customFormat="false" ht="12" hidden="false" customHeight="true" outlineLevel="0" collapsed="false">
      <c r="A33" s="2" t="s">
        <v>15</v>
      </c>
      <c r="B33" s="2" t="s">
        <v>16</v>
      </c>
      <c r="C33" s="2" t="n">
        <v>26</v>
      </c>
      <c r="D33" s="2" t="s">
        <v>43</v>
      </c>
      <c r="E33" s="10" t="n">
        <v>1</v>
      </c>
    </row>
    <row r="34" customFormat="false" ht="12" hidden="false" customHeight="true" outlineLevel="0" collapsed="false">
      <c r="A34" s="2" t="s">
        <v>15</v>
      </c>
      <c r="B34" s="2" t="s">
        <v>16</v>
      </c>
      <c r="C34" s="2" t="n">
        <v>27</v>
      </c>
      <c r="D34" s="2" t="s">
        <v>44</v>
      </c>
      <c r="E34" s="10" t="n">
        <v>1</v>
      </c>
    </row>
    <row r="35" customFormat="false" ht="12" hidden="false" customHeight="true" outlineLevel="0" collapsed="false">
      <c r="A35" s="2" t="s">
        <v>15</v>
      </c>
      <c r="B35" s="2" t="s">
        <v>16</v>
      </c>
      <c r="C35" s="2" t="n">
        <v>28</v>
      </c>
      <c r="D35" s="2" t="s">
        <v>45</v>
      </c>
      <c r="E35" s="10" t="n">
        <v>1</v>
      </c>
    </row>
    <row r="36" customFormat="false" ht="12" hidden="false" customHeight="true" outlineLevel="0" collapsed="false">
      <c r="A36" s="2" t="s">
        <v>15</v>
      </c>
      <c r="B36" s="2" t="s">
        <v>16</v>
      </c>
      <c r="C36" s="2" t="n">
        <v>29</v>
      </c>
      <c r="D36" s="2" t="s">
        <v>46</v>
      </c>
      <c r="E36" s="10" t="n">
        <v>1</v>
      </c>
    </row>
    <row r="37" customFormat="false" ht="12" hidden="false" customHeight="true" outlineLevel="0" collapsed="false">
      <c r="A37" s="2" t="s">
        <v>15</v>
      </c>
      <c r="B37" s="2" t="s">
        <v>16</v>
      </c>
      <c r="C37" s="2" t="n">
        <v>30</v>
      </c>
      <c r="D37" s="2" t="s">
        <v>47</v>
      </c>
      <c r="E37" s="10" t="n">
        <v>1</v>
      </c>
    </row>
    <row r="38" customFormat="false" ht="12" hidden="false" customHeight="true" outlineLevel="0" collapsed="false">
      <c r="A38" s="2" t="s">
        <v>15</v>
      </c>
      <c r="B38" s="2" t="s">
        <v>16</v>
      </c>
      <c r="C38" s="2" t="n">
        <v>31</v>
      </c>
      <c r="D38" s="2" t="s">
        <v>48</v>
      </c>
      <c r="E38" s="10" t="n">
        <v>1</v>
      </c>
    </row>
    <row r="39" customFormat="false" ht="12" hidden="false" customHeight="true" outlineLevel="0" collapsed="false">
      <c r="A39" s="2" t="s">
        <v>15</v>
      </c>
      <c r="B39" s="2" t="s">
        <v>16</v>
      </c>
      <c r="C39" s="2" t="n">
        <v>32</v>
      </c>
      <c r="D39" s="2" t="s">
        <v>49</v>
      </c>
      <c r="E39" s="10" t="n">
        <v>1</v>
      </c>
    </row>
    <row r="40" customFormat="false" ht="12" hidden="false" customHeight="true" outlineLevel="0" collapsed="false">
      <c r="A40" s="2" t="s">
        <v>15</v>
      </c>
      <c r="B40" s="2" t="s">
        <v>16</v>
      </c>
      <c r="C40" s="2" t="n">
        <v>33</v>
      </c>
      <c r="D40" s="2" t="s">
        <v>50</v>
      </c>
      <c r="E40" s="10" t="n">
        <v>1</v>
      </c>
    </row>
    <row r="41" customFormat="false" ht="12" hidden="false" customHeight="true" outlineLevel="0" collapsed="false">
      <c r="A41" s="2" t="s">
        <v>15</v>
      </c>
      <c r="B41" s="2" t="s">
        <v>16</v>
      </c>
      <c r="C41" s="2" t="n">
        <v>34</v>
      </c>
      <c r="D41" s="2" t="s">
        <v>51</v>
      </c>
      <c r="E41" s="10" t="n">
        <v>1</v>
      </c>
    </row>
    <row r="42" customFormat="false" ht="12" hidden="false" customHeight="true" outlineLevel="0" collapsed="false">
      <c r="A42" s="2" t="s">
        <v>15</v>
      </c>
      <c r="B42" s="2" t="s">
        <v>16</v>
      </c>
      <c r="C42" s="2" t="n">
        <v>35</v>
      </c>
      <c r="D42" s="2" t="s">
        <v>52</v>
      </c>
      <c r="E42" s="10" t="n">
        <v>1</v>
      </c>
    </row>
    <row r="43" customFormat="false" ht="12" hidden="false" customHeight="true" outlineLevel="0" collapsed="false">
      <c r="A43" s="2" t="s">
        <v>15</v>
      </c>
      <c r="B43" s="2" t="s">
        <v>53</v>
      </c>
      <c r="C43" s="2" t="n">
        <v>0</v>
      </c>
      <c r="D43" s="2" t="s">
        <v>54</v>
      </c>
      <c r="E43" s="10" t="n">
        <v>0.072995</v>
      </c>
    </row>
    <row r="44" customFormat="false" ht="12" hidden="false" customHeight="true" outlineLevel="0" collapsed="false">
      <c r="A44" s="2" t="s">
        <v>15</v>
      </c>
      <c r="B44" s="2" t="s">
        <v>53</v>
      </c>
      <c r="C44" s="2" t="n">
        <v>1</v>
      </c>
      <c r="D44" s="2" t="s">
        <v>55</v>
      </c>
      <c r="E44" s="10" t="n">
        <v>0.673013</v>
      </c>
    </row>
    <row r="45" customFormat="false" ht="12" hidden="false" customHeight="true" outlineLevel="0" collapsed="false">
      <c r="A45" s="2" t="s">
        <v>15</v>
      </c>
      <c r="B45" s="2" t="s">
        <v>53</v>
      </c>
      <c r="C45" s="2" t="n">
        <v>2</v>
      </c>
      <c r="D45" s="2" t="s">
        <v>56</v>
      </c>
      <c r="E45" s="10" t="n">
        <v>0.852116</v>
      </c>
    </row>
    <row r="46" customFormat="false" ht="12" hidden="false" customHeight="true" outlineLevel="0" collapsed="false">
      <c r="A46" s="2" t="s">
        <v>15</v>
      </c>
      <c r="B46" s="2" t="s">
        <v>53</v>
      </c>
      <c r="C46" s="2" t="n">
        <v>3</v>
      </c>
      <c r="D46" s="2" t="s">
        <v>57</v>
      </c>
      <c r="E46" s="10" t="n">
        <v>0.902246</v>
      </c>
    </row>
    <row r="47" customFormat="false" ht="12" hidden="false" customHeight="true" outlineLevel="0" collapsed="false">
      <c r="A47" s="2" t="s">
        <v>15</v>
      </c>
      <c r="B47" s="2" t="s">
        <v>53</v>
      </c>
      <c r="C47" s="2" t="n">
        <v>4</v>
      </c>
      <c r="D47" s="2" t="s">
        <v>58</v>
      </c>
      <c r="E47" s="10" t="n">
        <v>0.936555</v>
      </c>
    </row>
    <row r="48" customFormat="false" ht="12" hidden="false" customHeight="true" outlineLevel="0" collapsed="false">
      <c r="A48" s="2" t="s">
        <v>15</v>
      </c>
      <c r="B48" s="2" t="s">
        <v>53</v>
      </c>
      <c r="C48" s="2" t="n">
        <v>5</v>
      </c>
      <c r="D48" s="2" t="s">
        <v>59</v>
      </c>
      <c r="E48" s="10" t="n">
        <v>0.955518</v>
      </c>
    </row>
    <row r="49" customFormat="false" ht="12" hidden="false" customHeight="true" outlineLevel="0" collapsed="false">
      <c r="A49" s="2" t="s">
        <v>15</v>
      </c>
      <c r="B49" s="2" t="s">
        <v>53</v>
      </c>
      <c r="C49" s="2" t="n">
        <v>6</v>
      </c>
      <c r="D49" s="2" t="s">
        <v>60</v>
      </c>
      <c r="E49" s="10" t="n">
        <v>0.970254</v>
      </c>
    </row>
    <row r="50" customFormat="false" ht="12" hidden="false" customHeight="true" outlineLevel="0" collapsed="false">
      <c r="A50" s="2" t="s">
        <v>15</v>
      </c>
      <c r="B50" s="2" t="s">
        <v>53</v>
      </c>
      <c r="C50" s="2" t="n">
        <v>7</v>
      </c>
      <c r="D50" s="2" t="s">
        <v>61</v>
      </c>
      <c r="E50" s="10" t="n">
        <v>0.979727</v>
      </c>
    </row>
    <row r="51" customFormat="false" ht="12" hidden="false" customHeight="true" outlineLevel="0" collapsed="false">
      <c r="A51" s="2" t="s">
        <v>15</v>
      </c>
      <c r="B51" s="2" t="s">
        <v>53</v>
      </c>
      <c r="C51" s="2" t="n">
        <v>8</v>
      </c>
      <c r="D51" s="2" t="s">
        <v>62</v>
      </c>
      <c r="E51" s="10" t="n">
        <v>0.987828</v>
      </c>
    </row>
    <row r="52" customFormat="false" ht="12" hidden="false" customHeight="true" outlineLevel="0" collapsed="false">
      <c r="A52" s="2" t="s">
        <v>15</v>
      </c>
      <c r="B52" s="2" t="s">
        <v>53</v>
      </c>
      <c r="C52" s="2" t="n">
        <v>9</v>
      </c>
      <c r="D52" s="2" t="s">
        <v>63</v>
      </c>
      <c r="E52" s="10" t="n">
        <v>0.995083</v>
      </c>
    </row>
    <row r="53" customFormat="false" ht="12" hidden="false" customHeight="true" outlineLevel="0" collapsed="false">
      <c r="A53" s="2" t="s">
        <v>15</v>
      </c>
      <c r="B53" s="2" t="s">
        <v>53</v>
      </c>
      <c r="C53" s="2" t="n">
        <v>10</v>
      </c>
      <c r="D53" s="2" t="s">
        <v>64</v>
      </c>
      <c r="E53" s="10" t="n">
        <v>1</v>
      </c>
    </row>
    <row r="54" customFormat="false" ht="12" hidden="false" customHeight="true" outlineLevel="0" collapsed="false">
      <c r="A54" s="2" t="s">
        <v>15</v>
      </c>
      <c r="B54" s="2" t="s">
        <v>53</v>
      </c>
      <c r="C54" s="2" t="n">
        <v>11</v>
      </c>
      <c r="D54" s="2" t="s">
        <v>65</v>
      </c>
      <c r="E54" s="10" t="n">
        <v>1</v>
      </c>
    </row>
    <row r="55" customFormat="false" ht="12" hidden="false" customHeight="true" outlineLevel="0" collapsed="false">
      <c r="A55" s="2" t="s">
        <v>15</v>
      </c>
      <c r="B55" s="2" t="s">
        <v>53</v>
      </c>
      <c r="C55" s="2" t="n">
        <v>12</v>
      </c>
      <c r="D55" s="2" t="s">
        <v>66</v>
      </c>
      <c r="E55" s="10" t="n">
        <v>1</v>
      </c>
    </row>
    <row r="56" customFormat="false" ht="12" hidden="false" customHeight="true" outlineLevel="0" collapsed="false">
      <c r="A56" s="2" t="s">
        <v>15</v>
      </c>
      <c r="B56" s="2" t="s">
        <v>53</v>
      </c>
      <c r="C56" s="2" t="n">
        <v>13</v>
      </c>
      <c r="D56" s="2" t="s">
        <v>67</v>
      </c>
      <c r="E56" s="10" t="n">
        <v>1</v>
      </c>
    </row>
    <row r="57" customFormat="false" ht="12" hidden="false" customHeight="true" outlineLevel="0" collapsed="false">
      <c r="A57" s="2" t="s">
        <v>15</v>
      </c>
      <c r="B57" s="2" t="s">
        <v>53</v>
      </c>
      <c r="C57" s="2" t="n">
        <v>14</v>
      </c>
      <c r="D57" s="2" t="s">
        <v>68</v>
      </c>
      <c r="E57" s="10" t="n">
        <v>1</v>
      </c>
    </row>
    <row r="58" customFormat="false" ht="12" hidden="false" customHeight="true" outlineLevel="0" collapsed="false">
      <c r="A58" s="2" t="s">
        <v>15</v>
      </c>
      <c r="B58" s="2" t="s">
        <v>53</v>
      </c>
      <c r="C58" s="2" t="n">
        <v>15</v>
      </c>
      <c r="D58" s="2" t="s">
        <v>69</v>
      </c>
      <c r="E58" s="10" t="n">
        <v>1</v>
      </c>
    </row>
    <row r="59" customFormat="false" ht="12" hidden="false" customHeight="true" outlineLevel="0" collapsed="false">
      <c r="A59" s="2" t="s">
        <v>15</v>
      </c>
      <c r="B59" s="2" t="s">
        <v>53</v>
      </c>
      <c r="C59" s="2" t="n">
        <v>16</v>
      </c>
      <c r="D59" s="2" t="s">
        <v>70</v>
      </c>
      <c r="E59" s="10" t="n">
        <v>1</v>
      </c>
    </row>
    <row r="60" customFormat="false" ht="12" hidden="false" customHeight="true" outlineLevel="0" collapsed="false">
      <c r="A60" s="2" t="s">
        <v>15</v>
      </c>
      <c r="B60" s="2" t="s">
        <v>53</v>
      </c>
      <c r="C60" s="2" t="n">
        <v>17</v>
      </c>
      <c r="D60" s="2" t="s">
        <v>71</v>
      </c>
      <c r="E60" s="10" t="n">
        <v>1</v>
      </c>
    </row>
    <row r="61" customFormat="false" ht="12" hidden="false" customHeight="true" outlineLevel="0" collapsed="false">
      <c r="A61" s="2" t="s">
        <v>15</v>
      </c>
      <c r="B61" s="2" t="s">
        <v>53</v>
      </c>
      <c r="C61" s="2" t="n">
        <v>18</v>
      </c>
      <c r="D61" s="2" t="s">
        <v>72</v>
      </c>
      <c r="E61" s="10" t="n">
        <v>1</v>
      </c>
    </row>
    <row r="62" customFormat="false" ht="12" hidden="false" customHeight="true" outlineLevel="0" collapsed="false">
      <c r="A62" s="2" t="s">
        <v>15</v>
      </c>
      <c r="B62" s="2" t="s">
        <v>53</v>
      </c>
      <c r="C62" s="2" t="n">
        <v>19</v>
      </c>
      <c r="D62" s="2" t="s">
        <v>73</v>
      </c>
      <c r="E62" s="10" t="n">
        <v>1</v>
      </c>
    </row>
    <row r="63" customFormat="false" ht="12" hidden="false" customHeight="true" outlineLevel="0" collapsed="false">
      <c r="A63" s="2" t="s">
        <v>15</v>
      </c>
      <c r="B63" s="2" t="s">
        <v>53</v>
      </c>
      <c r="C63" s="2" t="n">
        <v>20</v>
      </c>
      <c r="D63" s="2" t="s">
        <v>74</v>
      </c>
      <c r="E63" s="10" t="n">
        <v>1</v>
      </c>
    </row>
    <row r="64" customFormat="false" ht="12" hidden="false" customHeight="true" outlineLevel="0" collapsed="false">
      <c r="A64" s="2" t="s">
        <v>15</v>
      </c>
      <c r="B64" s="2" t="s">
        <v>53</v>
      </c>
      <c r="C64" s="2" t="n">
        <v>21</v>
      </c>
      <c r="D64" s="2" t="s">
        <v>75</v>
      </c>
      <c r="E64" s="10" t="n">
        <v>1</v>
      </c>
    </row>
    <row r="65" customFormat="false" ht="12" hidden="false" customHeight="true" outlineLevel="0" collapsed="false">
      <c r="A65" s="2" t="s">
        <v>15</v>
      </c>
      <c r="B65" s="2" t="s">
        <v>53</v>
      </c>
      <c r="C65" s="2" t="n">
        <v>22</v>
      </c>
      <c r="D65" s="2" t="s">
        <v>76</v>
      </c>
      <c r="E65" s="10" t="n">
        <v>1</v>
      </c>
    </row>
    <row r="66" customFormat="false" ht="12" hidden="false" customHeight="true" outlineLevel="0" collapsed="false">
      <c r="A66" s="2" t="s">
        <v>15</v>
      </c>
      <c r="B66" s="2" t="s">
        <v>53</v>
      </c>
      <c r="C66" s="2" t="n">
        <v>23</v>
      </c>
      <c r="D66" s="2" t="s">
        <v>77</v>
      </c>
      <c r="E66" s="10" t="n">
        <v>1</v>
      </c>
    </row>
    <row r="67" customFormat="false" ht="12" hidden="false" customHeight="true" outlineLevel="0" collapsed="false">
      <c r="A67" s="2" t="s">
        <v>15</v>
      </c>
      <c r="B67" s="2" t="s">
        <v>53</v>
      </c>
      <c r="C67" s="2" t="n">
        <v>24</v>
      </c>
      <c r="D67" s="2" t="s">
        <v>78</v>
      </c>
      <c r="E67" s="10" t="n">
        <v>1</v>
      </c>
    </row>
    <row r="68" customFormat="false" ht="12" hidden="false" customHeight="true" outlineLevel="0" collapsed="false">
      <c r="A68" s="2" t="s">
        <v>15</v>
      </c>
      <c r="B68" s="2" t="s">
        <v>53</v>
      </c>
      <c r="C68" s="2" t="n">
        <v>25</v>
      </c>
      <c r="D68" s="2" t="s">
        <v>79</v>
      </c>
      <c r="E68" s="10" t="n">
        <v>1</v>
      </c>
    </row>
    <row r="69" customFormat="false" ht="12" hidden="false" customHeight="true" outlineLevel="0" collapsed="false">
      <c r="A69" s="2" t="s">
        <v>15</v>
      </c>
      <c r="B69" s="2" t="s">
        <v>53</v>
      </c>
      <c r="C69" s="2" t="n">
        <v>26</v>
      </c>
      <c r="D69" s="2" t="s">
        <v>80</v>
      </c>
      <c r="E69" s="10" t="n">
        <v>1</v>
      </c>
    </row>
    <row r="70" customFormat="false" ht="12" hidden="false" customHeight="true" outlineLevel="0" collapsed="false">
      <c r="A70" s="2" t="s">
        <v>15</v>
      </c>
      <c r="B70" s="2" t="s">
        <v>53</v>
      </c>
      <c r="C70" s="2" t="n">
        <v>27</v>
      </c>
      <c r="D70" s="2" t="s">
        <v>81</v>
      </c>
      <c r="E70" s="10" t="n">
        <v>1</v>
      </c>
    </row>
    <row r="71" customFormat="false" ht="12" hidden="false" customHeight="true" outlineLevel="0" collapsed="false">
      <c r="A71" s="2" t="s">
        <v>15</v>
      </c>
      <c r="B71" s="2" t="s">
        <v>53</v>
      </c>
      <c r="C71" s="2" t="n">
        <v>28</v>
      </c>
      <c r="D71" s="2" t="s">
        <v>82</v>
      </c>
      <c r="E71" s="10" t="n">
        <v>1</v>
      </c>
    </row>
    <row r="72" customFormat="false" ht="12" hidden="false" customHeight="true" outlineLevel="0" collapsed="false">
      <c r="A72" s="2" t="s">
        <v>15</v>
      </c>
      <c r="B72" s="2" t="s">
        <v>53</v>
      </c>
      <c r="C72" s="2" t="n">
        <v>29</v>
      </c>
      <c r="D72" s="2" t="s">
        <v>83</v>
      </c>
      <c r="E72" s="10" t="n">
        <v>1</v>
      </c>
    </row>
    <row r="73" customFormat="false" ht="12" hidden="false" customHeight="true" outlineLevel="0" collapsed="false">
      <c r="A73" s="2" t="s">
        <v>15</v>
      </c>
      <c r="B73" s="2" t="s">
        <v>53</v>
      </c>
      <c r="C73" s="2" t="n">
        <v>30</v>
      </c>
      <c r="D73" s="2" t="s">
        <v>84</v>
      </c>
      <c r="E73" s="10" t="n">
        <v>1</v>
      </c>
    </row>
    <row r="74" customFormat="false" ht="12" hidden="false" customHeight="true" outlineLevel="0" collapsed="false">
      <c r="A74" s="2" t="s">
        <v>15</v>
      </c>
      <c r="B74" s="2" t="s">
        <v>53</v>
      </c>
      <c r="C74" s="2" t="n">
        <v>31</v>
      </c>
      <c r="D74" s="2" t="s">
        <v>85</v>
      </c>
      <c r="E74" s="10" t="n">
        <v>1</v>
      </c>
    </row>
    <row r="75" customFormat="false" ht="12" hidden="false" customHeight="true" outlineLevel="0" collapsed="false">
      <c r="A75" s="2" t="s">
        <v>15</v>
      </c>
      <c r="B75" s="2" t="s">
        <v>53</v>
      </c>
      <c r="C75" s="2" t="n">
        <v>32</v>
      </c>
      <c r="D75" s="2" t="s">
        <v>86</v>
      </c>
      <c r="E75" s="10" t="n">
        <v>1</v>
      </c>
    </row>
    <row r="76" customFormat="false" ht="12" hidden="false" customHeight="true" outlineLevel="0" collapsed="false">
      <c r="A76" s="2" t="s">
        <v>15</v>
      </c>
      <c r="B76" s="2" t="s">
        <v>53</v>
      </c>
      <c r="C76" s="2" t="n">
        <v>33</v>
      </c>
      <c r="D76" s="2" t="s">
        <v>87</v>
      </c>
      <c r="E76" s="10" t="n">
        <v>1</v>
      </c>
    </row>
    <row r="77" customFormat="false" ht="12" hidden="false" customHeight="true" outlineLevel="0" collapsed="false">
      <c r="A77" s="2" t="s">
        <v>15</v>
      </c>
      <c r="B77" s="2" t="s">
        <v>53</v>
      </c>
      <c r="C77" s="2" t="n">
        <v>34</v>
      </c>
      <c r="D77" s="2" t="s">
        <v>88</v>
      </c>
      <c r="E77" s="10" t="n">
        <v>1</v>
      </c>
    </row>
    <row r="78" customFormat="false" ht="12" hidden="false" customHeight="true" outlineLevel="0" collapsed="false">
      <c r="A78" s="2" t="s">
        <v>15</v>
      </c>
      <c r="B78" s="2" t="s">
        <v>53</v>
      </c>
      <c r="C78" s="2" t="n">
        <v>35</v>
      </c>
      <c r="D78" s="2" t="s">
        <v>89</v>
      </c>
      <c r="E78" s="10" t="n">
        <v>1</v>
      </c>
    </row>
    <row r="79" customFormat="false" ht="12" hidden="false" customHeight="true" outlineLevel="0" collapsed="false">
      <c r="A79" s="2" t="s">
        <v>90</v>
      </c>
      <c r="B79" s="2" t="s">
        <v>16</v>
      </c>
      <c r="C79" s="2" t="n">
        <v>0</v>
      </c>
      <c r="D79" s="2" t="s">
        <v>91</v>
      </c>
      <c r="E79" s="10" t="n">
        <v>0.019352</v>
      </c>
    </row>
    <row r="80" customFormat="false" ht="12" hidden="false" customHeight="true" outlineLevel="0" collapsed="false">
      <c r="A80" s="2" t="s">
        <v>90</v>
      </c>
      <c r="B80" s="2" t="s">
        <v>16</v>
      </c>
      <c r="C80" s="2" t="n">
        <v>1</v>
      </c>
      <c r="D80" s="2" t="s">
        <v>92</v>
      </c>
      <c r="E80" s="10" t="n">
        <v>0.316003</v>
      </c>
    </row>
    <row r="81" customFormat="false" ht="12" hidden="false" customHeight="true" outlineLevel="0" collapsed="false">
      <c r="A81" s="2" t="s">
        <v>90</v>
      </c>
      <c r="B81" s="2" t="s">
        <v>16</v>
      </c>
      <c r="C81" s="2" t="n">
        <v>2</v>
      </c>
      <c r="D81" s="2" t="s">
        <v>93</v>
      </c>
      <c r="E81" s="10" t="n">
        <v>0.571625</v>
      </c>
    </row>
    <row r="82" customFormat="false" ht="12" hidden="false" customHeight="true" outlineLevel="0" collapsed="false">
      <c r="A82" s="2" t="s">
        <v>90</v>
      </c>
      <c r="B82" s="2" t="s">
        <v>16</v>
      </c>
      <c r="C82" s="2" t="n">
        <v>3</v>
      </c>
      <c r="D82" s="2" t="s">
        <v>94</v>
      </c>
      <c r="E82" s="10" t="n">
        <v>0.733393</v>
      </c>
    </row>
    <row r="83" customFormat="false" ht="12" hidden="false" customHeight="true" outlineLevel="0" collapsed="false">
      <c r="A83" s="2" t="s">
        <v>90</v>
      </c>
      <c r="B83" s="2" t="s">
        <v>16</v>
      </c>
      <c r="C83" s="2" t="n">
        <v>4</v>
      </c>
      <c r="D83" s="2" t="s">
        <v>95</v>
      </c>
      <c r="E83" s="10" t="n">
        <v>0.823299</v>
      </c>
    </row>
    <row r="84" customFormat="false" ht="12" hidden="false" customHeight="true" outlineLevel="0" collapsed="false">
      <c r="A84" s="2" t="s">
        <v>90</v>
      </c>
      <c r="B84" s="2" t="s">
        <v>16</v>
      </c>
      <c r="C84" s="2" t="n">
        <v>5</v>
      </c>
      <c r="D84" s="2" t="s">
        <v>96</v>
      </c>
      <c r="E84" s="10" t="n">
        <v>0.884043</v>
      </c>
    </row>
    <row r="85" customFormat="false" ht="12" hidden="false" customHeight="true" outlineLevel="0" collapsed="false">
      <c r="A85" s="2" t="s">
        <v>90</v>
      </c>
      <c r="B85" s="2" t="s">
        <v>16</v>
      </c>
      <c r="C85" s="2" t="n">
        <v>6</v>
      </c>
      <c r="D85" s="2" t="s">
        <v>97</v>
      </c>
      <c r="E85" s="10" t="n">
        <v>0.924692</v>
      </c>
    </row>
    <row r="86" customFormat="false" ht="12" hidden="false" customHeight="true" outlineLevel="0" collapsed="false">
      <c r="A86" s="2" t="s">
        <v>90</v>
      </c>
      <c r="B86" s="2" t="s">
        <v>16</v>
      </c>
      <c r="C86" s="2" t="n">
        <v>7</v>
      </c>
      <c r="D86" s="2" t="s">
        <v>98</v>
      </c>
      <c r="E86" s="10" t="n">
        <v>0.952571</v>
      </c>
    </row>
    <row r="87" customFormat="false" ht="12" hidden="false" customHeight="true" outlineLevel="0" collapsed="false">
      <c r="A87" s="2" t="s">
        <v>90</v>
      </c>
      <c r="B87" s="2" t="s">
        <v>16</v>
      </c>
      <c r="C87" s="2" t="n">
        <v>8</v>
      </c>
      <c r="D87" s="2" t="s">
        <v>99</v>
      </c>
      <c r="E87" s="10" t="n">
        <v>0.973538</v>
      </c>
    </row>
    <row r="88" customFormat="false" ht="12" hidden="false" customHeight="true" outlineLevel="0" collapsed="false">
      <c r="A88" s="2" t="s">
        <v>90</v>
      </c>
      <c r="B88" s="2" t="s">
        <v>16</v>
      </c>
      <c r="C88" s="2" t="n">
        <v>9</v>
      </c>
      <c r="D88" s="2" t="s">
        <v>100</v>
      </c>
      <c r="E88" s="10" t="n">
        <v>0.992081</v>
      </c>
    </row>
    <row r="89" customFormat="false" ht="12" hidden="false" customHeight="true" outlineLevel="0" collapsed="false">
      <c r="A89" s="2" t="s">
        <v>90</v>
      </c>
      <c r="B89" s="2" t="s">
        <v>16</v>
      </c>
      <c r="C89" s="2" t="n">
        <v>10</v>
      </c>
      <c r="D89" s="2" t="s">
        <v>101</v>
      </c>
      <c r="E89" s="10" t="n">
        <v>1</v>
      </c>
    </row>
    <row r="90" customFormat="false" ht="12" hidden="false" customHeight="true" outlineLevel="0" collapsed="false">
      <c r="A90" s="2" t="s">
        <v>90</v>
      </c>
      <c r="B90" s="2" t="s">
        <v>16</v>
      </c>
      <c r="C90" s="2" t="n">
        <v>11</v>
      </c>
      <c r="D90" s="2" t="s">
        <v>102</v>
      </c>
      <c r="E90" s="10" t="n">
        <v>1</v>
      </c>
    </row>
    <row r="91" customFormat="false" ht="12" hidden="false" customHeight="true" outlineLevel="0" collapsed="false">
      <c r="A91" s="2" t="s">
        <v>90</v>
      </c>
      <c r="B91" s="2" t="s">
        <v>16</v>
      </c>
      <c r="C91" s="2" t="n">
        <v>12</v>
      </c>
      <c r="D91" s="2" t="s">
        <v>103</v>
      </c>
      <c r="E91" s="10" t="n">
        <v>1</v>
      </c>
    </row>
    <row r="92" customFormat="false" ht="12" hidden="false" customHeight="true" outlineLevel="0" collapsed="false">
      <c r="A92" s="2" t="s">
        <v>90</v>
      </c>
      <c r="B92" s="2" t="s">
        <v>16</v>
      </c>
      <c r="C92" s="2" t="n">
        <v>13</v>
      </c>
      <c r="D92" s="2" t="s">
        <v>104</v>
      </c>
      <c r="E92" s="10" t="n">
        <v>1</v>
      </c>
    </row>
    <row r="93" customFormat="false" ht="12" hidden="false" customHeight="true" outlineLevel="0" collapsed="false">
      <c r="A93" s="2" t="s">
        <v>90</v>
      </c>
      <c r="B93" s="2" t="s">
        <v>16</v>
      </c>
      <c r="C93" s="2" t="n">
        <v>14</v>
      </c>
      <c r="D93" s="2" t="s">
        <v>105</v>
      </c>
      <c r="E93" s="10" t="n">
        <v>1</v>
      </c>
    </row>
    <row r="94" customFormat="false" ht="12" hidden="false" customHeight="true" outlineLevel="0" collapsed="false">
      <c r="A94" s="2" t="s">
        <v>90</v>
      </c>
      <c r="B94" s="2" t="s">
        <v>16</v>
      </c>
      <c r="C94" s="2" t="n">
        <v>15</v>
      </c>
      <c r="D94" s="2" t="s">
        <v>106</v>
      </c>
      <c r="E94" s="10" t="n">
        <v>1</v>
      </c>
    </row>
    <row r="95" customFormat="false" ht="12" hidden="false" customHeight="true" outlineLevel="0" collapsed="false">
      <c r="A95" s="2" t="s">
        <v>90</v>
      </c>
      <c r="B95" s="2" t="s">
        <v>16</v>
      </c>
      <c r="C95" s="2" t="n">
        <v>16</v>
      </c>
      <c r="D95" s="2" t="s">
        <v>107</v>
      </c>
      <c r="E95" s="10" t="n">
        <v>1</v>
      </c>
    </row>
    <row r="96" customFormat="false" ht="12" hidden="false" customHeight="true" outlineLevel="0" collapsed="false">
      <c r="A96" s="2" t="s">
        <v>90</v>
      </c>
      <c r="B96" s="2" t="s">
        <v>16</v>
      </c>
      <c r="C96" s="2" t="n">
        <v>17</v>
      </c>
      <c r="D96" s="2" t="s">
        <v>108</v>
      </c>
      <c r="E96" s="10" t="n">
        <v>1</v>
      </c>
    </row>
    <row r="97" customFormat="false" ht="12" hidden="false" customHeight="true" outlineLevel="0" collapsed="false">
      <c r="A97" s="2" t="s">
        <v>90</v>
      </c>
      <c r="B97" s="2" t="s">
        <v>16</v>
      </c>
      <c r="C97" s="2" t="n">
        <v>18</v>
      </c>
      <c r="D97" s="2" t="s">
        <v>109</v>
      </c>
      <c r="E97" s="10" t="n">
        <v>1</v>
      </c>
    </row>
    <row r="98" customFormat="false" ht="12" hidden="false" customHeight="true" outlineLevel="0" collapsed="false">
      <c r="A98" s="2" t="s">
        <v>90</v>
      </c>
      <c r="B98" s="2" t="s">
        <v>16</v>
      </c>
      <c r="C98" s="2" t="n">
        <v>19</v>
      </c>
      <c r="D98" s="2" t="s">
        <v>110</v>
      </c>
      <c r="E98" s="10" t="n">
        <v>1</v>
      </c>
    </row>
    <row r="99" customFormat="false" ht="12" hidden="false" customHeight="true" outlineLevel="0" collapsed="false">
      <c r="A99" s="2" t="s">
        <v>90</v>
      </c>
      <c r="B99" s="2" t="s">
        <v>16</v>
      </c>
      <c r="C99" s="2" t="n">
        <v>20</v>
      </c>
      <c r="D99" s="2" t="s">
        <v>111</v>
      </c>
      <c r="E99" s="10" t="n">
        <v>1</v>
      </c>
    </row>
    <row r="100" customFormat="false" ht="12" hidden="false" customHeight="true" outlineLevel="0" collapsed="false">
      <c r="A100" s="2" t="s">
        <v>90</v>
      </c>
      <c r="B100" s="2" t="s">
        <v>16</v>
      </c>
      <c r="C100" s="2" t="n">
        <v>21</v>
      </c>
      <c r="D100" s="2" t="s">
        <v>112</v>
      </c>
      <c r="E100" s="10" t="n">
        <v>1</v>
      </c>
    </row>
    <row r="101" customFormat="false" ht="12" hidden="false" customHeight="true" outlineLevel="0" collapsed="false">
      <c r="A101" s="2" t="s">
        <v>90</v>
      </c>
      <c r="B101" s="2" t="s">
        <v>16</v>
      </c>
      <c r="C101" s="2" t="n">
        <v>22</v>
      </c>
      <c r="D101" s="2" t="s">
        <v>113</v>
      </c>
      <c r="E101" s="10" t="n">
        <v>1</v>
      </c>
    </row>
    <row r="102" customFormat="false" ht="12" hidden="false" customHeight="true" outlineLevel="0" collapsed="false">
      <c r="A102" s="2" t="s">
        <v>90</v>
      </c>
      <c r="B102" s="2" t="s">
        <v>16</v>
      </c>
      <c r="C102" s="2" t="n">
        <v>23</v>
      </c>
      <c r="D102" s="2" t="s">
        <v>114</v>
      </c>
      <c r="E102" s="10" t="n">
        <v>1</v>
      </c>
    </row>
    <row r="103" customFormat="false" ht="12" hidden="false" customHeight="true" outlineLevel="0" collapsed="false">
      <c r="A103" s="2" t="s">
        <v>90</v>
      </c>
      <c r="B103" s="2" t="s">
        <v>16</v>
      </c>
      <c r="C103" s="2" t="n">
        <v>24</v>
      </c>
      <c r="D103" s="2" t="s">
        <v>115</v>
      </c>
      <c r="E103" s="10" t="n">
        <v>1</v>
      </c>
    </row>
    <row r="104" customFormat="false" ht="12" hidden="false" customHeight="true" outlineLevel="0" collapsed="false">
      <c r="A104" s="2" t="s">
        <v>90</v>
      </c>
      <c r="B104" s="2" t="s">
        <v>16</v>
      </c>
      <c r="C104" s="2" t="n">
        <v>25</v>
      </c>
      <c r="D104" s="2" t="s">
        <v>116</v>
      </c>
      <c r="E104" s="10" t="n">
        <v>1</v>
      </c>
    </row>
    <row r="105" customFormat="false" ht="12" hidden="false" customHeight="true" outlineLevel="0" collapsed="false">
      <c r="A105" s="2" t="s">
        <v>90</v>
      </c>
      <c r="B105" s="2" t="s">
        <v>16</v>
      </c>
      <c r="C105" s="2" t="n">
        <v>26</v>
      </c>
      <c r="D105" s="2" t="s">
        <v>117</v>
      </c>
      <c r="E105" s="10" t="n">
        <v>1</v>
      </c>
    </row>
    <row r="106" customFormat="false" ht="12" hidden="false" customHeight="true" outlineLevel="0" collapsed="false">
      <c r="A106" s="2" t="s">
        <v>90</v>
      </c>
      <c r="B106" s="2" t="s">
        <v>16</v>
      </c>
      <c r="C106" s="2" t="n">
        <v>27</v>
      </c>
      <c r="D106" s="2" t="s">
        <v>118</v>
      </c>
      <c r="E106" s="10" t="n">
        <v>1</v>
      </c>
    </row>
    <row r="107" customFormat="false" ht="12" hidden="false" customHeight="true" outlineLevel="0" collapsed="false">
      <c r="A107" s="2" t="s">
        <v>90</v>
      </c>
      <c r="B107" s="2" t="s">
        <v>16</v>
      </c>
      <c r="C107" s="2" t="n">
        <v>28</v>
      </c>
      <c r="D107" s="2" t="s">
        <v>119</v>
      </c>
      <c r="E107" s="10" t="n">
        <v>1</v>
      </c>
    </row>
    <row r="108" customFormat="false" ht="12" hidden="false" customHeight="true" outlineLevel="0" collapsed="false">
      <c r="A108" s="2" t="s">
        <v>90</v>
      </c>
      <c r="B108" s="2" t="s">
        <v>16</v>
      </c>
      <c r="C108" s="2" t="n">
        <v>29</v>
      </c>
      <c r="D108" s="2" t="s">
        <v>120</v>
      </c>
      <c r="E108" s="10" t="n">
        <v>1</v>
      </c>
    </row>
    <row r="109" customFormat="false" ht="12" hidden="false" customHeight="true" outlineLevel="0" collapsed="false">
      <c r="A109" s="2" t="s">
        <v>90</v>
      </c>
      <c r="B109" s="2" t="s">
        <v>16</v>
      </c>
      <c r="C109" s="2" t="n">
        <v>30</v>
      </c>
      <c r="D109" s="2" t="s">
        <v>121</v>
      </c>
      <c r="E109" s="10" t="n">
        <v>1</v>
      </c>
    </row>
    <row r="110" customFormat="false" ht="12" hidden="false" customHeight="true" outlineLevel="0" collapsed="false">
      <c r="A110" s="2" t="s">
        <v>90</v>
      </c>
      <c r="B110" s="2" t="s">
        <v>16</v>
      </c>
      <c r="C110" s="2" t="n">
        <v>31</v>
      </c>
      <c r="D110" s="2" t="s">
        <v>122</v>
      </c>
      <c r="E110" s="10" t="n">
        <v>1</v>
      </c>
    </row>
    <row r="111" customFormat="false" ht="12" hidden="false" customHeight="true" outlineLevel="0" collapsed="false">
      <c r="A111" s="2" t="s">
        <v>90</v>
      </c>
      <c r="B111" s="2" t="s">
        <v>16</v>
      </c>
      <c r="C111" s="2" t="n">
        <v>32</v>
      </c>
      <c r="D111" s="2" t="s">
        <v>123</v>
      </c>
      <c r="E111" s="10" t="n">
        <v>1</v>
      </c>
    </row>
    <row r="112" customFormat="false" ht="12" hidden="false" customHeight="true" outlineLevel="0" collapsed="false">
      <c r="A112" s="2" t="s">
        <v>90</v>
      </c>
      <c r="B112" s="2" t="s">
        <v>16</v>
      </c>
      <c r="C112" s="2" t="n">
        <v>33</v>
      </c>
      <c r="D112" s="2" t="s">
        <v>124</v>
      </c>
      <c r="E112" s="10" t="n">
        <v>1</v>
      </c>
    </row>
    <row r="113" customFormat="false" ht="12" hidden="false" customHeight="true" outlineLevel="0" collapsed="false">
      <c r="A113" s="2" t="s">
        <v>90</v>
      </c>
      <c r="B113" s="2" t="s">
        <v>16</v>
      </c>
      <c r="C113" s="2" t="n">
        <v>34</v>
      </c>
      <c r="D113" s="2" t="s">
        <v>125</v>
      </c>
      <c r="E113" s="10" t="n">
        <v>1</v>
      </c>
    </row>
    <row r="114" customFormat="false" ht="12" hidden="false" customHeight="true" outlineLevel="0" collapsed="false">
      <c r="A114" s="2" t="s">
        <v>90</v>
      </c>
      <c r="B114" s="2" t="s">
        <v>16</v>
      </c>
      <c r="C114" s="2" t="n">
        <v>35</v>
      </c>
      <c r="D114" s="2" t="s">
        <v>126</v>
      </c>
      <c r="E114" s="10" t="n">
        <v>1</v>
      </c>
    </row>
    <row r="115" customFormat="false" ht="12" hidden="false" customHeight="true" outlineLevel="0" collapsed="false">
      <c r="A115" s="2" t="s">
        <v>90</v>
      </c>
      <c r="B115" s="2" t="s">
        <v>53</v>
      </c>
      <c r="C115" s="2" t="n">
        <v>0</v>
      </c>
      <c r="D115" s="2" t="s">
        <v>127</v>
      </c>
      <c r="E115" s="10" t="n">
        <v>0.047576</v>
      </c>
    </row>
    <row r="116" customFormat="false" ht="12" hidden="false" customHeight="true" outlineLevel="0" collapsed="false">
      <c r="A116" s="2" t="s">
        <v>90</v>
      </c>
      <c r="B116" s="2" t="s">
        <v>53</v>
      </c>
      <c r="C116" s="2" t="n">
        <v>1</v>
      </c>
      <c r="D116" s="2" t="s">
        <v>128</v>
      </c>
      <c r="E116" s="10" t="n">
        <v>0.568638</v>
      </c>
    </row>
    <row r="117" customFormat="false" ht="12" hidden="false" customHeight="true" outlineLevel="0" collapsed="false">
      <c r="A117" s="2" t="s">
        <v>90</v>
      </c>
      <c r="B117" s="2" t="s">
        <v>53</v>
      </c>
      <c r="C117" s="2" t="n">
        <v>2</v>
      </c>
      <c r="D117" s="2" t="s">
        <v>129</v>
      </c>
      <c r="E117" s="10" t="n">
        <v>0.761422</v>
      </c>
    </row>
    <row r="118" customFormat="false" ht="12" hidden="false" customHeight="true" outlineLevel="0" collapsed="false">
      <c r="A118" s="2" t="s">
        <v>90</v>
      </c>
      <c r="B118" s="2" t="s">
        <v>53</v>
      </c>
      <c r="C118" s="2" t="n">
        <v>3</v>
      </c>
      <c r="D118" s="2" t="s">
        <v>130</v>
      </c>
      <c r="E118" s="10" t="n">
        <v>0.857276</v>
      </c>
    </row>
    <row r="119" customFormat="false" ht="12" hidden="false" customHeight="true" outlineLevel="0" collapsed="false">
      <c r="A119" s="2" t="s">
        <v>90</v>
      </c>
      <c r="B119" s="2" t="s">
        <v>53</v>
      </c>
      <c r="C119" s="2" t="n">
        <v>4</v>
      </c>
      <c r="D119" s="2" t="s">
        <v>131</v>
      </c>
      <c r="E119" s="10" t="n">
        <v>0.90603</v>
      </c>
    </row>
    <row r="120" customFormat="false" ht="12" hidden="false" customHeight="true" outlineLevel="0" collapsed="false">
      <c r="A120" s="2" t="s">
        <v>90</v>
      </c>
      <c r="B120" s="2" t="s">
        <v>53</v>
      </c>
      <c r="C120" s="2" t="n">
        <v>5</v>
      </c>
      <c r="D120" s="2" t="s">
        <v>132</v>
      </c>
      <c r="E120" s="10" t="n">
        <v>0.931155</v>
      </c>
    </row>
    <row r="121" customFormat="false" ht="12" hidden="false" customHeight="true" outlineLevel="0" collapsed="false">
      <c r="A121" s="2" t="s">
        <v>90</v>
      </c>
      <c r="B121" s="2" t="s">
        <v>53</v>
      </c>
      <c r="C121" s="2" t="n">
        <v>6</v>
      </c>
      <c r="D121" s="2" t="s">
        <v>133</v>
      </c>
      <c r="E121" s="10" t="n">
        <v>0.956766</v>
      </c>
    </row>
    <row r="122" customFormat="false" ht="12" hidden="false" customHeight="true" outlineLevel="0" collapsed="false">
      <c r="A122" s="2" t="s">
        <v>90</v>
      </c>
      <c r="B122" s="2" t="s">
        <v>53</v>
      </c>
      <c r="C122" s="2" t="n">
        <v>7</v>
      </c>
      <c r="D122" s="2" t="s">
        <v>134</v>
      </c>
      <c r="E122" s="10" t="n">
        <v>0.973761</v>
      </c>
    </row>
    <row r="123" customFormat="false" ht="12" hidden="false" customHeight="true" outlineLevel="0" collapsed="false">
      <c r="A123" s="2" t="s">
        <v>90</v>
      </c>
      <c r="B123" s="2" t="s">
        <v>53</v>
      </c>
      <c r="C123" s="2" t="n">
        <v>8</v>
      </c>
      <c r="D123" s="2" t="s">
        <v>135</v>
      </c>
      <c r="E123" s="10" t="n">
        <v>0.986039</v>
      </c>
    </row>
    <row r="124" customFormat="false" ht="12" hidden="false" customHeight="true" outlineLevel="0" collapsed="false">
      <c r="A124" s="2" t="s">
        <v>90</v>
      </c>
      <c r="B124" s="2" t="s">
        <v>53</v>
      </c>
      <c r="C124" s="2" t="n">
        <v>9</v>
      </c>
      <c r="D124" s="2" t="s">
        <v>136</v>
      </c>
      <c r="E124" s="10" t="n">
        <v>0.993871</v>
      </c>
    </row>
    <row r="125" customFormat="false" ht="12" hidden="false" customHeight="true" outlineLevel="0" collapsed="false">
      <c r="A125" s="2" t="s">
        <v>90</v>
      </c>
      <c r="B125" s="2" t="s">
        <v>53</v>
      </c>
      <c r="C125" s="2" t="n">
        <v>10</v>
      </c>
      <c r="D125" s="2" t="s">
        <v>137</v>
      </c>
      <c r="E125" s="10" t="n">
        <v>1</v>
      </c>
    </row>
    <row r="126" customFormat="false" ht="12" hidden="false" customHeight="true" outlineLevel="0" collapsed="false">
      <c r="A126" s="2" t="s">
        <v>90</v>
      </c>
      <c r="B126" s="2" t="s">
        <v>53</v>
      </c>
      <c r="C126" s="2" t="n">
        <v>11</v>
      </c>
      <c r="D126" s="2" t="s">
        <v>138</v>
      </c>
      <c r="E126" s="10" t="n">
        <v>1</v>
      </c>
    </row>
    <row r="127" customFormat="false" ht="12" hidden="false" customHeight="true" outlineLevel="0" collapsed="false">
      <c r="A127" s="2" t="s">
        <v>90</v>
      </c>
      <c r="B127" s="2" t="s">
        <v>53</v>
      </c>
      <c r="C127" s="2" t="n">
        <v>12</v>
      </c>
      <c r="D127" s="2" t="s">
        <v>139</v>
      </c>
      <c r="E127" s="10" t="n">
        <v>1</v>
      </c>
    </row>
    <row r="128" customFormat="false" ht="12" hidden="false" customHeight="true" outlineLevel="0" collapsed="false">
      <c r="A128" s="2" t="s">
        <v>90</v>
      </c>
      <c r="B128" s="2" t="s">
        <v>53</v>
      </c>
      <c r="C128" s="2" t="n">
        <v>13</v>
      </c>
      <c r="D128" s="2" t="s">
        <v>140</v>
      </c>
      <c r="E128" s="10" t="n">
        <v>1</v>
      </c>
    </row>
    <row r="129" customFormat="false" ht="12" hidden="false" customHeight="true" outlineLevel="0" collapsed="false">
      <c r="A129" s="2" t="s">
        <v>90</v>
      </c>
      <c r="B129" s="2" t="s">
        <v>53</v>
      </c>
      <c r="C129" s="2" t="n">
        <v>14</v>
      </c>
      <c r="D129" s="2" t="s">
        <v>141</v>
      </c>
      <c r="E129" s="10" t="n">
        <v>1</v>
      </c>
    </row>
    <row r="130" customFormat="false" ht="12" hidden="false" customHeight="true" outlineLevel="0" collapsed="false">
      <c r="A130" s="2" t="s">
        <v>90</v>
      </c>
      <c r="B130" s="2" t="s">
        <v>53</v>
      </c>
      <c r="C130" s="2" t="n">
        <v>15</v>
      </c>
      <c r="D130" s="2" t="s">
        <v>142</v>
      </c>
      <c r="E130" s="10" t="n">
        <v>1</v>
      </c>
    </row>
    <row r="131" customFormat="false" ht="12" hidden="false" customHeight="true" outlineLevel="0" collapsed="false">
      <c r="A131" s="2" t="s">
        <v>90</v>
      </c>
      <c r="B131" s="2" t="s">
        <v>53</v>
      </c>
      <c r="C131" s="2" t="n">
        <v>16</v>
      </c>
      <c r="D131" s="2" t="s">
        <v>143</v>
      </c>
      <c r="E131" s="10" t="n">
        <v>1</v>
      </c>
    </row>
    <row r="132" customFormat="false" ht="12" hidden="false" customHeight="true" outlineLevel="0" collapsed="false">
      <c r="A132" s="2" t="s">
        <v>90</v>
      </c>
      <c r="B132" s="2" t="s">
        <v>53</v>
      </c>
      <c r="C132" s="2" t="n">
        <v>17</v>
      </c>
      <c r="D132" s="2" t="s">
        <v>144</v>
      </c>
      <c r="E132" s="10" t="n">
        <v>1</v>
      </c>
    </row>
    <row r="133" customFormat="false" ht="12" hidden="false" customHeight="true" outlineLevel="0" collapsed="false">
      <c r="A133" s="2" t="s">
        <v>90</v>
      </c>
      <c r="B133" s="2" t="s">
        <v>53</v>
      </c>
      <c r="C133" s="2" t="n">
        <v>18</v>
      </c>
      <c r="D133" s="2" t="s">
        <v>145</v>
      </c>
      <c r="E133" s="10" t="n">
        <v>1</v>
      </c>
    </row>
    <row r="134" customFormat="false" ht="12" hidden="false" customHeight="true" outlineLevel="0" collapsed="false">
      <c r="A134" s="2" t="s">
        <v>90</v>
      </c>
      <c r="B134" s="2" t="s">
        <v>53</v>
      </c>
      <c r="C134" s="2" t="n">
        <v>19</v>
      </c>
      <c r="D134" s="2" t="s">
        <v>146</v>
      </c>
      <c r="E134" s="10" t="n">
        <v>1</v>
      </c>
    </row>
    <row r="135" customFormat="false" ht="12" hidden="false" customHeight="true" outlineLevel="0" collapsed="false">
      <c r="A135" s="2" t="s">
        <v>90</v>
      </c>
      <c r="B135" s="2" t="s">
        <v>53</v>
      </c>
      <c r="C135" s="2" t="n">
        <v>20</v>
      </c>
      <c r="D135" s="2" t="s">
        <v>147</v>
      </c>
      <c r="E135" s="10" t="n">
        <v>1</v>
      </c>
    </row>
    <row r="136" customFormat="false" ht="12" hidden="false" customHeight="true" outlineLevel="0" collapsed="false">
      <c r="A136" s="2" t="s">
        <v>90</v>
      </c>
      <c r="B136" s="2" t="s">
        <v>53</v>
      </c>
      <c r="C136" s="2" t="n">
        <v>21</v>
      </c>
      <c r="D136" s="2" t="s">
        <v>148</v>
      </c>
      <c r="E136" s="10" t="n">
        <v>1</v>
      </c>
    </row>
    <row r="137" customFormat="false" ht="12" hidden="false" customHeight="true" outlineLevel="0" collapsed="false">
      <c r="A137" s="2" t="s">
        <v>90</v>
      </c>
      <c r="B137" s="2" t="s">
        <v>53</v>
      </c>
      <c r="C137" s="2" t="n">
        <v>22</v>
      </c>
      <c r="D137" s="2" t="s">
        <v>149</v>
      </c>
      <c r="E137" s="10" t="n">
        <v>1</v>
      </c>
    </row>
    <row r="138" customFormat="false" ht="12" hidden="false" customHeight="true" outlineLevel="0" collapsed="false">
      <c r="A138" s="2" t="s">
        <v>90</v>
      </c>
      <c r="B138" s="2" t="s">
        <v>53</v>
      </c>
      <c r="C138" s="2" t="n">
        <v>23</v>
      </c>
      <c r="D138" s="2" t="s">
        <v>150</v>
      </c>
      <c r="E138" s="10" t="n">
        <v>1</v>
      </c>
    </row>
    <row r="139" customFormat="false" ht="12" hidden="false" customHeight="true" outlineLevel="0" collapsed="false">
      <c r="A139" s="2" t="s">
        <v>90</v>
      </c>
      <c r="B139" s="2" t="s">
        <v>53</v>
      </c>
      <c r="C139" s="2" t="n">
        <v>24</v>
      </c>
      <c r="D139" s="2" t="s">
        <v>151</v>
      </c>
      <c r="E139" s="10" t="n">
        <v>1</v>
      </c>
    </row>
    <row r="140" customFormat="false" ht="12" hidden="false" customHeight="true" outlineLevel="0" collapsed="false">
      <c r="A140" s="2" t="s">
        <v>90</v>
      </c>
      <c r="B140" s="2" t="s">
        <v>53</v>
      </c>
      <c r="C140" s="2" t="n">
        <v>25</v>
      </c>
      <c r="D140" s="2" t="s">
        <v>152</v>
      </c>
      <c r="E140" s="10" t="n">
        <v>1</v>
      </c>
    </row>
    <row r="141" customFormat="false" ht="12" hidden="false" customHeight="true" outlineLevel="0" collapsed="false">
      <c r="A141" s="2" t="s">
        <v>90</v>
      </c>
      <c r="B141" s="2" t="s">
        <v>53</v>
      </c>
      <c r="C141" s="2" t="n">
        <v>26</v>
      </c>
      <c r="D141" s="2" t="s">
        <v>153</v>
      </c>
      <c r="E141" s="10" t="n">
        <v>1</v>
      </c>
    </row>
    <row r="142" customFormat="false" ht="12" hidden="false" customHeight="true" outlineLevel="0" collapsed="false">
      <c r="A142" s="2" t="s">
        <v>90</v>
      </c>
      <c r="B142" s="2" t="s">
        <v>53</v>
      </c>
      <c r="C142" s="2" t="n">
        <v>27</v>
      </c>
      <c r="D142" s="2" t="s">
        <v>154</v>
      </c>
      <c r="E142" s="10" t="n">
        <v>1</v>
      </c>
    </row>
    <row r="143" customFormat="false" ht="12" hidden="false" customHeight="true" outlineLevel="0" collapsed="false">
      <c r="A143" s="2" t="s">
        <v>90</v>
      </c>
      <c r="B143" s="2" t="s">
        <v>53</v>
      </c>
      <c r="C143" s="2" t="n">
        <v>28</v>
      </c>
      <c r="D143" s="2" t="s">
        <v>155</v>
      </c>
      <c r="E143" s="10" t="n">
        <v>1</v>
      </c>
    </row>
    <row r="144" customFormat="false" ht="12" hidden="false" customHeight="true" outlineLevel="0" collapsed="false">
      <c r="A144" s="2" t="s">
        <v>90</v>
      </c>
      <c r="B144" s="2" t="s">
        <v>53</v>
      </c>
      <c r="C144" s="2" t="n">
        <v>29</v>
      </c>
      <c r="D144" s="2" t="s">
        <v>156</v>
      </c>
      <c r="E144" s="10" t="n">
        <v>1</v>
      </c>
    </row>
    <row r="145" customFormat="false" ht="12" hidden="false" customHeight="true" outlineLevel="0" collapsed="false">
      <c r="A145" s="2" t="s">
        <v>90</v>
      </c>
      <c r="B145" s="2" t="s">
        <v>53</v>
      </c>
      <c r="C145" s="2" t="n">
        <v>30</v>
      </c>
      <c r="D145" s="2" t="s">
        <v>157</v>
      </c>
      <c r="E145" s="10" t="n">
        <v>1</v>
      </c>
    </row>
    <row r="146" customFormat="false" ht="12" hidden="false" customHeight="true" outlineLevel="0" collapsed="false">
      <c r="A146" s="2" t="s">
        <v>90</v>
      </c>
      <c r="B146" s="2" t="s">
        <v>53</v>
      </c>
      <c r="C146" s="2" t="n">
        <v>31</v>
      </c>
      <c r="D146" s="2" t="s">
        <v>158</v>
      </c>
      <c r="E146" s="10" t="n">
        <v>1</v>
      </c>
    </row>
    <row r="147" customFormat="false" ht="12" hidden="false" customHeight="true" outlineLevel="0" collapsed="false">
      <c r="A147" s="2" t="s">
        <v>90</v>
      </c>
      <c r="B147" s="2" t="s">
        <v>53</v>
      </c>
      <c r="C147" s="2" t="n">
        <v>32</v>
      </c>
      <c r="D147" s="2" t="s">
        <v>159</v>
      </c>
      <c r="E147" s="10" t="n">
        <v>1</v>
      </c>
    </row>
    <row r="148" customFormat="false" ht="12" hidden="false" customHeight="true" outlineLevel="0" collapsed="false">
      <c r="A148" s="2" t="s">
        <v>90</v>
      </c>
      <c r="B148" s="2" t="s">
        <v>53</v>
      </c>
      <c r="C148" s="2" t="n">
        <v>33</v>
      </c>
      <c r="D148" s="2" t="s">
        <v>160</v>
      </c>
      <c r="E148" s="10" t="n">
        <v>1</v>
      </c>
    </row>
    <row r="149" customFormat="false" ht="12" hidden="false" customHeight="true" outlineLevel="0" collapsed="false">
      <c r="A149" s="2" t="s">
        <v>90</v>
      </c>
      <c r="B149" s="2" t="s">
        <v>53</v>
      </c>
      <c r="C149" s="2" t="n">
        <v>34</v>
      </c>
      <c r="D149" s="2" t="s">
        <v>161</v>
      </c>
      <c r="E149" s="10" t="n">
        <v>1</v>
      </c>
    </row>
    <row r="150" customFormat="false" ht="12" hidden="false" customHeight="true" outlineLevel="0" collapsed="false">
      <c r="A150" s="2" t="s">
        <v>90</v>
      </c>
      <c r="B150" s="2" t="s">
        <v>53</v>
      </c>
      <c r="C150" s="2" t="n">
        <v>35</v>
      </c>
      <c r="D150" s="2" t="s">
        <v>162</v>
      </c>
      <c r="E150" s="10" t="n">
        <v>1</v>
      </c>
    </row>
    <row r="151" customFormat="false" ht="12" hidden="false" customHeight="true" outlineLevel="0" collapsed="false">
      <c r="A151" s="2"/>
      <c r="B151" s="2"/>
      <c r="C151" s="2"/>
      <c r="D151" s="2"/>
      <c r="E151" s="10"/>
    </row>
    <row r="152" customFormat="false" ht="12" hidden="false" customHeight="true" outlineLevel="0" collapsed="false">
      <c r="A152" s="2"/>
      <c r="B152" s="2"/>
      <c r="C152" s="2"/>
      <c r="D152" s="2"/>
      <c r="E152" s="10"/>
    </row>
    <row r="153" customFormat="false" ht="12" hidden="false" customHeight="true" outlineLevel="0" collapsed="false">
      <c r="A153" s="2"/>
      <c r="B153" s="2"/>
      <c r="C153" s="2"/>
      <c r="D153" s="2"/>
      <c r="E153" s="10"/>
    </row>
    <row r="154" customFormat="false" ht="12" hidden="false" customHeight="true" outlineLevel="0" collapsed="false">
      <c r="A154" s="2"/>
      <c r="B154" s="2"/>
      <c r="C154" s="2"/>
      <c r="D154" s="2"/>
      <c r="E154" s="10"/>
    </row>
    <row r="155" customFormat="false" ht="12" hidden="false" customHeight="true" outlineLevel="0" collapsed="false">
      <c r="A155" s="2"/>
      <c r="B155" s="2"/>
      <c r="C155" s="2"/>
      <c r="D155" s="2"/>
      <c r="E155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X2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8.73046875" defaultRowHeight="12" customHeight="false" zeroHeight="false" outlineLevelRow="0" outlineLevelCol="0"/>
  <cols>
    <col collapsed="false" customWidth="true" hidden="false" outlineLevel="0" max="1" min="1" style="11" width="1.64"/>
    <col collapsed="false" customWidth="false" hidden="false" outlineLevel="0" max="2" min="2" style="11" width="8.73"/>
    <col collapsed="false" customWidth="true" hidden="false" outlineLevel="0" max="3" min="3" style="11" width="1.64"/>
    <col collapsed="false" customWidth="true" hidden="false" outlineLevel="0" max="15" min="4" style="11" width="8.64"/>
    <col collapsed="false" customWidth="true" hidden="false" outlineLevel="0" max="16" min="16" style="11" width="1.64"/>
    <col collapsed="false" customWidth="true" hidden="false" outlineLevel="0" max="17" min="17" style="11" width="8.64"/>
    <col collapsed="false" customWidth="true" hidden="false" outlineLevel="0" max="18" min="18" style="11" width="1.64"/>
    <col collapsed="false" customWidth="true" hidden="false" outlineLevel="0" max="22" min="19" style="11" width="8.64"/>
    <col collapsed="false" customWidth="true" hidden="false" outlineLevel="0" max="23" min="23" style="11" width="1.64"/>
    <col collapsed="false" customWidth="true" hidden="false" outlineLevel="0" max="24" min="24" style="11" width="8.64"/>
    <col collapsed="false" customWidth="false" hidden="false" outlineLevel="0" max="16384" min="25" style="11" width="8.73"/>
  </cols>
  <sheetData>
    <row r="1" customFormat="false" ht="4.5" hidden="false" customHeight="true" outlineLevel="0" collapsed="false"/>
    <row r="2" customFormat="false" ht="4.5" hidden="false" customHeight="true" outlineLevel="0" collapsed="false"/>
    <row r="3" customFormat="false" ht="34.5" hidden="false" customHeight="true" outlineLevel="0" collapsed="false"/>
    <row r="4" customFormat="false" ht="28.5" hidden="false" customHeight="true" outlineLevel="0" collapsed="false">
      <c r="B4" s="12" t="s">
        <v>163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customFormat="false" ht="12" hidden="false" customHeight="true" outlineLevel="0" collapsed="false">
      <c r="B5" s="13" t="str">
        <f aca="false">"Data incurred thru "&amp;TEXT(incurred_date,"mmmyy")&amp;"; paid thru "&amp;TEXT(close_date,"mmmyy")</f>
        <v>Data incurred thru Nov25; paid thru Jan26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customFormat="false" ht="4.5" hidden="false" customHeight="true" outlineLevel="0" collapsed="false"/>
    <row r="21" customFormat="false" ht="4.5" hidden="false" customHeight="true" outlineLevel="0" collapsed="false"/>
    <row r="22" s="14" customFormat="true" ht="12" hidden="false" customHeight="true" outlineLevel="0" collapsed="false">
      <c r="D22" s="15" t="s">
        <v>164</v>
      </c>
      <c r="E22" s="16" t="s">
        <v>165</v>
      </c>
      <c r="F22" s="16" t="s">
        <v>166</v>
      </c>
      <c r="G22" s="16" t="s">
        <v>167</v>
      </c>
      <c r="H22" s="16" t="s">
        <v>168</v>
      </c>
      <c r="I22" s="16" t="s">
        <v>169</v>
      </c>
      <c r="J22" s="16" t="s">
        <v>170</v>
      </c>
      <c r="K22" s="16" t="s">
        <v>171</v>
      </c>
      <c r="L22" s="16" t="s">
        <v>172</v>
      </c>
      <c r="M22" s="16" t="s">
        <v>173</v>
      </c>
      <c r="N22" s="16" t="s">
        <v>174</v>
      </c>
      <c r="O22" s="17" t="s">
        <v>175</v>
      </c>
      <c r="P22" s="18"/>
      <c r="Q22" s="19" t="str">
        <f aca="false">TEXT(incurred_date,"mmm")&amp;" YTD"</f>
        <v>Nov YTD</v>
      </c>
      <c r="R22" s="18"/>
      <c r="S22" s="15" t="s">
        <v>176</v>
      </c>
      <c r="T22" s="16" t="s">
        <v>177</v>
      </c>
      <c r="U22" s="16" t="s">
        <v>178</v>
      </c>
      <c r="V22" s="20" t="s">
        <v>179</v>
      </c>
      <c r="W22" s="18"/>
      <c r="X22" s="19" t="s">
        <v>180</v>
      </c>
    </row>
    <row r="23" s="14" customFormat="true" ht="4.5" hidden="false" customHeight="true" outlineLevel="0" collapsed="false"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W23" s="18"/>
      <c r="X23" s="18"/>
    </row>
    <row r="24" customFormat="false" ht="12" hidden="false" customHeight="false" outlineLevel="0" collapsed="false">
      <c r="B24" s="21" t="n">
        <v>2024</v>
      </c>
      <c r="D24" s="22" t="n">
        <f aca="false">calcs!E17</f>
        <v>897.485341066856</v>
      </c>
      <c r="E24" s="23" t="n">
        <f aca="false">calcs!F17</f>
        <v>885.870875288731</v>
      </c>
      <c r="F24" s="23" t="n">
        <f aca="false">calcs!G17</f>
        <v>889.197192440394</v>
      </c>
      <c r="G24" s="23" t="n">
        <f aca="false">calcs!H17</f>
        <v>845.465220008217</v>
      </c>
      <c r="H24" s="23" t="n">
        <f aca="false">calcs!I17</f>
        <v>843.33472944764</v>
      </c>
      <c r="I24" s="23" t="n">
        <f aca="false">calcs!J17</f>
        <v>815.507083520614</v>
      </c>
      <c r="J24" s="23" t="n">
        <f aca="false">calcs!K17</f>
        <v>801.262739904517</v>
      </c>
      <c r="K24" s="23" t="n">
        <f aca="false">calcs!L17</f>
        <v>793.537450060548</v>
      </c>
      <c r="L24" s="23" t="n">
        <f aca="false">calcs!M17</f>
        <v>843.607658632213</v>
      </c>
      <c r="M24" s="23" t="n">
        <f aca="false">calcs!N17</f>
        <v>861.056978917715</v>
      </c>
      <c r="N24" s="23" t="n">
        <f aca="false">calcs!O17</f>
        <v>940.504033569875</v>
      </c>
      <c r="O24" s="24" t="n">
        <f aca="false">calcs!P17</f>
        <v>960.311454877477</v>
      </c>
      <c r="Q24" s="25" t="n">
        <f aca="false">calcs!R17</f>
        <v>856.02453019218</v>
      </c>
      <c r="S24" s="22" t="n">
        <f aca="false">calcs!T17</f>
        <v>890.841673032693</v>
      </c>
      <c r="T24" s="23" t="n">
        <f aca="false">calcs!U17</f>
        <v>834.744735133696</v>
      </c>
      <c r="U24" s="23" t="n">
        <f aca="false">calcs!V17</f>
        <v>812.822876080242</v>
      </c>
      <c r="V24" s="24" t="n">
        <f aca="false">calcs!W17</f>
        <v>920.585039886262</v>
      </c>
      <c r="X24" s="25" t="n">
        <f aca="false">calcs!Y17</f>
        <v>864.72575942439</v>
      </c>
    </row>
    <row r="25" customFormat="false" ht="12" hidden="false" customHeight="true" outlineLevel="0" collapsed="false">
      <c r="B25" s="26" t="n">
        <v>2025</v>
      </c>
      <c r="D25" s="27" t="n">
        <f aca="false">calcs!E18</f>
        <v>937.924346336268</v>
      </c>
      <c r="E25" s="28" t="n">
        <f aca="false">calcs!F18</f>
        <v>945.262740125786</v>
      </c>
      <c r="F25" s="28" t="n">
        <f aca="false">calcs!G18</f>
        <v>898.924278158805</v>
      </c>
      <c r="G25" s="28" t="n">
        <f aca="false">calcs!H18</f>
        <v>901.87419179352</v>
      </c>
      <c r="H25" s="28" t="n">
        <f aca="false">calcs!I18</f>
        <v>850.935769804778</v>
      </c>
      <c r="I25" s="28" t="n">
        <f aca="false">calcs!J18</f>
        <v>824.779341966872</v>
      </c>
      <c r="J25" s="28" t="n">
        <f aca="false">calcs!K18</f>
        <v>869.286613657563</v>
      </c>
      <c r="K25" s="28" t="n">
        <f aca="false">calcs!L18</f>
        <v>870.956966880832</v>
      </c>
      <c r="L25" s="28" t="n">
        <f aca="false">calcs!M18</f>
        <v>907.970772805768</v>
      </c>
      <c r="M25" s="28" t="n">
        <f aca="false">calcs!N18</f>
        <v>957.006705542855</v>
      </c>
      <c r="N25" s="28" t="n">
        <f aca="false">calcs!O18</f>
        <v>908.485558407819</v>
      </c>
      <c r="O25" s="29" t="str">
        <f aca="false">calcs!P18</f>
        <v/>
      </c>
      <c r="Q25" s="30" t="n">
        <f aca="false">calcs!R18</f>
        <v>897.531331431498</v>
      </c>
      <c r="S25" s="27" t="n">
        <f aca="false">calcs!T18</f>
        <v>927.313861223834</v>
      </c>
      <c r="T25" s="28" t="n">
        <f aca="false">calcs!U18</f>
        <v>859.149635381003</v>
      </c>
      <c r="U25" s="28" t="n">
        <f aca="false">calcs!V18</f>
        <v>882.706789576482</v>
      </c>
      <c r="V25" s="29" t="n">
        <f aca="false">calcs!W18</f>
        <v>932.687257673133</v>
      </c>
      <c r="X25" s="30"/>
    </row>
    <row r="26" customFormat="false" ht="4.5" hidden="false" customHeight="true" outlineLevel="0" collapsed="false">
      <c r="B26" s="18"/>
    </row>
    <row r="27" customFormat="false" ht="12" hidden="false" customHeight="true" outlineLevel="0" collapsed="false">
      <c r="B27" s="31" t="s">
        <v>181</v>
      </c>
      <c r="C27" s="32"/>
      <c r="D27" s="33" t="n">
        <f aca="false">calcs!E21</f>
        <v>0.0450581234244352</v>
      </c>
      <c r="E27" s="34" t="n">
        <f aca="false">calcs!F21</f>
        <v>0.0670434783372889</v>
      </c>
      <c r="F27" s="34" t="n">
        <f aca="false">calcs!G21</f>
        <v>0.0109391772726091</v>
      </c>
      <c r="G27" s="34" t="n">
        <f aca="false">calcs!H21</f>
        <v>0.0667194468209522</v>
      </c>
      <c r="H27" s="34" t="n">
        <f aca="false">calcs!I21</f>
        <v>0.00901307641168425</v>
      </c>
      <c r="I27" s="34" t="n">
        <f aca="false">calcs!J21</f>
        <v>0.0113699299903425</v>
      </c>
      <c r="J27" s="34" t="n">
        <f aca="false">calcs!K21</f>
        <v>0.0848958404844245</v>
      </c>
      <c r="K27" s="34" t="n">
        <f aca="false">calcs!L21</f>
        <v>0.0975625243829092</v>
      </c>
      <c r="L27" s="34" t="n">
        <f aca="false">calcs!M21</f>
        <v>0.0762950804381157</v>
      </c>
      <c r="M27" s="34" t="n">
        <f aca="false">calcs!N21</f>
        <v>0.111432493986335</v>
      </c>
      <c r="N27" s="34" t="n">
        <f aca="false">calcs!O21</f>
        <v>-0.0340439530498587</v>
      </c>
      <c r="O27" s="35" t="str">
        <f aca="false">calcs!P21</f>
        <v/>
      </c>
      <c r="P27" s="32"/>
      <c r="Q27" s="36" t="n">
        <f aca="false">calcs!R21</f>
        <v>0.0484878642788416</v>
      </c>
      <c r="R27" s="32"/>
      <c r="S27" s="37" t="n">
        <f aca="false">calcs!T21</f>
        <v>0.0409412685724269</v>
      </c>
      <c r="T27" s="38" t="n">
        <f aca="false">calcs!U21</f>
        <v>0.0292363631899975</v>
      </c>
      <c r="U27" s="38" t="n">
        <f aca="false">calcs!V21</f>
        <v>0.0859768044832197</v>
      </c>
      <c r="V27" s="39" t="n">
        <f aca="false">calcs!W21</f>
        <v>0.0131462246968144</v>
      </c>
      <c r="W27" s="32"/>
      <c r="X27" s="40"/>
    </row>
    <row r="28" customFormat="false" ht="4.5" hidden="false" customHeight="true" outlineLevel="0" collapsed="false"/>
    <row r="29" customFormat="false" ht="12" hidden="false" customHeight="false" outlineLevel="0" collapsed="false">
      <c r="B29" s="18"/>
    </row>
  </sheetData>
  <mergeCells count="2">
    <mergeCell ref="B4:X4"/>
    <mergeCell ref="B5:X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32" activeCellId="0" sqref="P32"/>
    </sheetView>
  </sheetViews>
  <sheetFormatPr defaultColWidth="8.73046875" defaultRowHeight="12" customHeight="false" zeroHeight="false" outlineLevelRow="0" outlineLevelCol="0"/>
  <cols>
    <col collapsed="false" customWidth="true" hidden="false" outlineLevel="0" max="1" min="1" style="1" width="1.64"/>
    <col collapsed="false" customWidth="false" hidden="false" outlineLevel="0" max="2" min="2" style="1" width="8.73"/>
    <col collapsed="false" customWidth="false" hidden="false" outlineLevel="0" max="3" min="3" style="41" width="8.73"/>
    <col collapsed="false" customWidth="true" hidden="false" outlineLevel="0" max="4" min="4" style="1" width="1.64"/>
    <col collapsed="false" customWidth="true" hidden="false" outlineLevel="0" max="16" min="5" style="1" width="11"/>
    <col collapsed="false" customWidth="true" hidden="false" outlineLevel="0" max="17" min="17" style="1" width="1.64"/>
    <col collapsed="false" customWidth="true" hidden="false" outlineLevel="0" max="18" min="18" style="1" width="13.18"/>
    <col collapsed="false" customWidth="true" hidden="false" outlineLevel="0" max="19" min="19" style="1" width="1.64"/>
    <col collapsed="false" customWidth="true" hidden="false" outlineLevel="0" max="23" min="20" style="1" width="11"/>
    <col collapsed="false" customWidth="true" hidden="false" outlineLevel="0" max="24" min="24" style="1" width="1.64"/>
    <col collapsed="false" customWidth="true" hidden="false" outlineLevel="0" max="25" min="25" style="1" width="13.18"/>
    <col collapsed="false" customWidth="false" hidden="false" outlineLevel="0" max="16384" min="26" style="1" width="8.73"/>
  </cols>
  <sheetData>
    <row r="1" customFormat="false" ht="12" hidden="false" customHeight="false" outlineLevel="0" collapsed="false">
      <c r="E1" s="1" t="n">
        <v>1</v>
      </c>
      <c r="F1" s="1" t="n">
        <v>1</v>
      </c>
      <c r="G1" s="1" t="n">
        <v>1</v>
      </c>
      <c r="H1" s="1" t="n">
        <v>2</v>
      </c>
      <c r="I1" s="1" t="n">
        <v>2</v>
      </c>
      <c r="J1" s="1" t="n">
        <v>2</v>
      </c>
      <c r="K1" s="1" t="n">
        <v>3</v>
      </c>
      <c r="L1" s="1" t="n">
        <v>3</v>
      </c>
      <c r="M1" s="1" t="n">
        <v>3</v>
      </c>
      <c r="N1" s="1" t="n">
        <v>4</v>
      </c>
      <c r="O1" s="1" t="n">
        <v>4</v>
      </c>
      <c r="P1" s="1" t="n">
        <v>4</v>
      </c>
    </row>
    <row r="2" s="42" customFormat="true" ht="12" hidden="false" customHeight="false" outlineLevel="0" collapsed="false">
      <c r="B2" s="42" t="s">
        <v>182</v>
      </c>
      <c r="E2" s="42" t="n">
        <f aca="false">IF(E6&gt;incurred_month,0,1)</f>
        <v>1</v>
      </c>
      <c r="F2" s="42" t="n">
        <f aca="false">IF(F6&gt;incurred_month,0,1)</f>
        <v>1</v>
      </c>
      <c r="G2" s="42" t="n">
        <f aca="false">IF(G6&gt;incurred_month,0,1)</f>
        <v>1</v>
      </c>
      <c r="H2" s="42" t="n">
        <f aca="false">IF(H6&gt;incurred_month,0,1)</f>
        <v>1</v>
      </c>
      <c r="I2" s="42" t="n">
        <f aca="false">IF(I6&gt;incurred_month,0,1)</f>
        <v>1</v>
      </c>
      <c r="J2" s="42" t="n">
        <f aca="false">IF(J6&gt;incurred_month,0,1)</f>
        <v>1</v>
      </c>
      <c r="K2" s="42" t="n">
        <f aca="false">IF(K6&gt;incurred_month,0,1)</f>
        <v>1</v>
      </c>
      <c r="L2" s="42" t="n">
        <f aca="false">IF(L6&gt;incurred_month,0,1)</f>
        <v>1</v>
      </c>
      <c r="M2" s="42" t="n">
        <f aca="false">IF(M6&gt;incurred_month,0,1)</f>
        <v>1</v>
      </c>
      <c r="N2" s="42" t="n">
        <f aca="false">IF(N6&gt;incurred_month,0,1)</f>
        <v>1</v>
      </c>
      <c r="O2" s="42" t="n">
        <f aca="false">IF(O6&gt;incurred_month,0,1)</f>
        <v>1</v>
      </c>
      <c r="P2" s="42" t="n">
        <f aca="false">IF(P6&gt;incurred_month,0,1)</f>
        <v>0</v>
      </c>
      <c r="R2" s="42" t="n">
        <f aca="false">SUM(E2:P2)</f>
        <v>11</v>
      </c>
      <c r="T2" s="42" t="n">
        <f aca="false">SUMIFS($E$2:$P$2,$E$1:$P$1,T$3)</f>
        <v>3</v>
      </c>
      <c r="U2" s="42" t="n">
        <f aca="false">SUMIFS($E$2:$P$2,$E$1:$P$1,U$3)</f>
        <v>3</v>
      </c>
      <c r="V2" s="42" t="n">
        <f aca="false">SUMIFS($E$2:$P$2,$E$1:$P$1,V$3)</f>
        <v>3</v>
      </c>
      <c r="W2" s="42" t="n">
        <f aca="false">SUMIFS($E$2:$P$2,$E$1:$P$1,W$3)</f>
        <v>2</v>
      </c>
    </row>
    <row r="3" s="42" customFormat="true" ht="12" hidden="false" customHeight="false" outlineLevel="0" collapsed="false">
      <c r="B3" s="42" t="s">
        <v>183</v>
      </c>
      <c r="E3" s="42" t="n">
        <f aca="false">IF(E2=1,E1,0)</f>
        <v>1</v>
      </c>
      <c r="F3" s="42" t="n">
        <f aca="false">IF(F2=1,F1,0)</f>
        <v>1</v>
      </c>
      <c r="G3" s="42" t="n">
        <f aca="false">IF(G2=1,G1,0)</f>
        <v>1</v>
      </c>
      <c r="H3" s="42" t="n">
        <f aca="false">IF(H2=1,H1,0)</f>
        <v>2</v>
      </c>
      <c r="I3" s="42" t="n">
        <f aca="false">IF(I2=1,I1,0)</f>
        <v>2</v>
      </c>
      <c r="J3" s="42" t="n">
        <f aca="false">IF(J2=1,J1,0)</f>
        <v>2</v>
      </c>
      <c r="K3" s="42" t="n">
        <f aca="false">IF(K2=1,K1,0)</f>
        <v>3</v>
      </c>
      <c r="L3" s="42" t="n">
        <f aca="false">IF(L2=1,L1,0)</f>
        <v>3</v>
      </c>
      <c r="M3" s="42" t="n">
        <f aca="false">IF(M2=1,M1,0)</f>
        <v>3</v>
      </c>
      <c r="N3" s="42" t="n">
        <f aca="false">IF(N2=1,N1,0)</f>
        <v>4</v>
      </c>
      <c r="O3" s="42" t="n">
        <f aca="false">IF(O2=1,O1,0)</f>
        <v>4</v>
      </c>
      <c r="P3" s="42" t="n">
        <f aca="false">IF(P2=1,P1,0)</f>
        <v>0</v>
      </c>
      <c r="T3" s="42" t="n">
        <v>1</v>
      </c>
      <c r="U3" s="42" t="n">
        <v>2</v>
      </c>
      <c r="V3" s="42" t="n">
        <v>3</v>
      </c>
      <c r="W3" s="42" t="n">
        <v>4</v>
      </c>
    </row>
    <row r="4" s="42" customFormat="true" ht="12" hidden="false" customHeight="false" outlineLevel="0" collapsed="false"/>
    <row r="6" customFormat="false" ht="12" hidden="false" customHeight="false" outlineLevel="0" collapsed="false">
      <c r="B6" s="4" t="s">
        <v>184</v>
      </c>
      <c r="E6" s="41" t="n">
        <v>1</v>
      </c>
      <c r="F6" s="41" t="n">
        <f aca="false">E6+1</f>
        <v>2</v>
      </c>
      <c r="G6" s="41" t="n">
        <f aca="false">F6+1</f>
        <v>3</v>
      </c>
      <c r="H6" s="41" t="n">
        <f aca="false">G6+1</f>
        <v>4</v>
      </c>
      <c r="I6" s="41" t="n">
        <f aca="false">H6+1</f>
        <v>5</v>
      </c>
      <c r="J6" s="41" t="n">
        <f aca="false">I6+1</f>
        <v>6</v>
      </c>
      <c r="K6" s="41" t="n">
        <f aca="false">J6+1</f>
        <v>7</v>
      </c>
      <c r="L6" s="41" t="n">
        <f aca="false">K6+1</f>
        <v>8</v>
      </c>
      <c r="M6" s="41" t="n">
        <f aca="false">L6+1</f>
        <v>9</v>
      </c>
      <c r="N6" s="41" t="n">
        <f aca="false">M6+1</f>
        <v>10</v>
      </c>
      <c r="O6" s="41" t="n">
        <f aca="false">N6+1</f>
        <v>11</v>
      </c>
      <c r="P6" s="41" t="n">
        <f aca="false">O6+1</f>
        <v>12</v>
      </c>
      <c r="Q6" s="41"/>
      <c r="R6" s="41" t="str">
        <f aca="false">TEXT(incurred_date,"mmm")&amp;" YTD"</f>
        <v>Nov YTD</v>
      </c>
      <c r="S6" s="41"/>
      <c r="T6" s="41" t="s">
        <v>176</v>
      </c>
      <c r="U6" s="41" t="s">
        <v>177</v>
      </c>
      <c r="V6" s="41" t="s">
        <v>178</v>
      </c>
      <c r="W6" s="41" t="s">
        <v>179</v>
      </c>
      <c r="X6" s="41"/>
      <c r="Y6" s="41" t="s">
        <v>180</v>
      </c>
    </row>
    <row r="7" customFormat="false" ht="12" hidden="false" customHeight="false" outlineLevel="0" collapsed="false">
      <c r="C7" s="41" t="n">
        <v>2024</v>
      </c>
      <c r="E7" s="43" t="n">
        <f aca="false">IFERROR(GETPIVOTDATA("member_months",pivot!$C$2,"year",$C7,"month",E$6),0)</f>
        <v>97239</v>
      </c>
      <c r="F7" s="43" t="n">
        <f aca="false">IFERROR(GETPIVOTDATA("member_months",pivot!$C$2,"year",$C7,"month",F$6),0)</f>
        <v>97842</v>
      </c>
      <c r="G7" s="43" t="n">
        <f aca="false">IFERROR(GETPIVOTDATA("member_months",pivot!$C$2,"year",$C7,"month",G$6),0)</f>
        <v>97095</v>
      </c>
      <c r="H7" s="43" t="n">
        <f aca="false">IFERROR(GETPIVOTDATA("member_months",pivot!$C$2,"year",$C7,"month",H$6),0)</f>
        <v>97360</v>
      </c>
      <c r="I7" s="43" t="n">
        <f aca="false">IFERROR(GETPIVOTDATA("member_months",pivot!$C$2,"year",$C7,"month",I$6),0)</f>
        <v>97726</v>
      </c>
      <c r="J7" s="43" t="n">
        <f aca="false">IFERROR(GETPIVOTDATA("member_months",pivot!$C$2,"year",$C7,"month",J$6),0)</f>
        <v>97892</v>
      </c>
      <c r="K7" s="43" t="n">
        <f aca="false">IFERROR(GETPIVOTDATA("member_months",pivot!$C$2,"year",$C7,"month",K$6),0)</f>
        <v>98237</v>
      </c>
      <c r="L7" s="43" t="n">
        <f aca="false">IFERROR(GETPIVOTDATA("member_months",pivot!$C$2,"year",$C7,"month",L$6),0)</f>
        <v>98269</v>
      </c>
      <c r="M7" s="43" t="n">
        <f aca="false">IFERROR(GETPIVOTDATA("member_months",pivot!$C$2,"year",$C7,"month",M$6),0)</f>
        <v>98451</v>
      </c>
      <c r="N7" s="43" t="n">
        <f aca="false">IFERROR(GETPIVOTDATA("member_months",pivot!$C$2,"year",$C7,"month",N$6),0)</f>
        <v>98329</v>
      </c>
      <c r="O7" s="43" t="n">
        <f aca="false">IFERROR(GETPIVOTDATA("member_months",pivot!$C$2,"year",$C7,"month",O$6),0)</f>
        <v>98362</v>
      </c>
      <c r="P7" s="43" t="n">
        <f aca="false">IFERROR(GETPIVOTDATA("member_months",pivot!$C$2,"year",$C7,"month",P$6),0)</f>
        <v>98022</v>
      </c>
      <c r="R7" s="43" t="n">
        <f aca="false">AVERAGEIFS(E7:P7,$E$2:$P$2,1)</f>
        <v>97891.0909090909</v>
      </c>
      <c r="T7" s="43" t="n">
        <f aca="false">AVERAGEIFS($E7:$P7,$E$1:$P$1,T$3)</f>
        <v>97392</v>
      </c>
      <c r="U7" s="43" t="n">
        <f aca="false">AVERAGEIFS($E7:$P7,$E$1:$P$1,U$3)</f>
        <v>97659.3333333333</v>
      </c>
      <c r="V7" s="43" t="n">
        <f aca="false">AVERAGEIFS($E7:$P7,$E$1:$P$1,V$3)</f>
        <v>98319</v>
      </c>
      <c r="W7" s="43" t="n">
        <f aca="false">AVERAGEIFS($E7:$P7,$E$1:$P$1,W$3)</f>
        <v>98237.6666666667</v>
      </c>
      <c r="Y7" s="44" t="n">
        <f aca="false">AVERAGE(E7:P7)</f>
        <v>97902</v>
      </c>
    </row>
    <row r="8" customFormat="false" ht="12" hidden="false" customHeight="false" outlineLevel="0" collapsed="false">
      <c r="C8" s="41" t="n">
        <v>2025</v>
      </c>
      <c r="E8" s="43" t="n">
        <f aca="false">IF(E$2=0,0,IFERROR(GETPIVOTDATA("member_months",pivot!$C$2,"year",$C8,"month",E$6),0))</f>
        <v>99516</v>
      </c>
      <c r="F8" s="43" t="n">
        <f aca="false">IF(F$2=0,0,IFERROR(GETPIVOTDATA("member_months",pivot!$C$2,"year",$C8,"month",F$6),0))</f>
        <v>99375</v>
      </c>
      <c r="G8" s="43" t="n">
        <f aca="false">IF(G$2=0,0,IFERROR(GETPIVOTDATA("member_months",pivot!$C$2,"year",$C8,"month",G$6),0))</f>
        <v>100022</v>
      </c>
      <c r="H8" s="43" t="n">
        <f aca="false">IF(H$2=0,0,IFERROR(GETPIVOTDATA("member_months",pivot!$C$2,"year",$C8,"month",H$6),0))</f>
        <v>99590</v>
      </c>
      <c r="I8" s="43" t="n">
        <f aca="false">IF(I$2=0,0,IFERROR(GETPIVOTDATA("member_months",pivot!$C$2,"year",$C8,"month",I$6),0))</f>
        <v>99698</v>
      </c>
      <c r="J8" s="43" t="n">
        <f aca="false">IF(J$2=0,0,IFERROR(GETPIVOTDATA("member_months",pivot!$C$2,"year",$C8,"month",J$6),0))</f>
        <v>99971</v>
      </c>
      <c r="K8" s="43" t="n">
        <f aca="false">IF(K$2=0,0,IFERROR(GETPIVOTDATA("member_months",pivot!$C$2,"year",$C8,"month",K$6),0))</f>
        <v>100048</v>
      </c>
      <c r="L8" s="43" t="n">
        <f aca="false">IF(L$2=0,0,IFERROR(GETPIVOTDATA("member_months",pivot!$C$2,"year",$C8,"month",L$6),0))</f>
        <v>100644</v>
      </c>
      <c r="M8" s="43" t="n">
        <f aca="false">IF(M$2=0,0,IFERROR(GETPIVOTDATA("member_months",pivot!$C$2,"year",$C8,"month",M$6),0))</f>
        <v>99953</v>
      </c>
      <c r="N8" s="43" t="n">
        <f aca="false">IF(N$2=0,0,IFERROR(GETPIVOTDATA("member_months",pivot!$C$2,"year",$C8,"month",N$6),0))</f>
        <v>99891</v>
      </c>
      <c r="O8" s="43" t="n">
        <f aca="false">IF(O$2=0,0,IFERROR(GETPIVOTDATA("member_months",pivot!$C$2,"year",$C8,"month",O$6),0))</f>
        <v>100377</v>
      </c>
      <c r="P8" s="43" t="n">
        <f aca="false">IF(P$2=0,0,IFERROR(GETPIVOTDATA("member_months",pivot!$C$2,"year",$C8,"month",P$6),0))</f>
        <v>0</v>
      </c>
      <c r="R8" s="43" t="n">
        <f aca="false">AVERAGEIFS(E8:P8,$E$2:$P$2,1)</f>
        <v>99916.8181818182</v>
      </c>
      <c r="T8" s="43" t="n">
        <f aca="false">AVERAGEIFS($E8:$P8,$E$1:$P$1,T$3)</f>
        <v>99637.6666666667</v>
      </c>
      <c r="U8" s="43" t="n">
        <f aca="false">AVERAGEIFS($E8:$P8,$E$1:$P$1,U$3)</f>
        <v>99753</v>
      </c>
      <c r="V8" s="43" t="n">
        <f aca="false">AVERAGEIFS($E8:$P8,$E$1:$P$1,V$3)</f>
        <v>100215</v>
      </c>
      <c r="W8" s="43" t="n">
        <f aca="false">AVERAGEIFS($E8:$P8,$E$1:$P$1,W$3)</f>
        <v>66756</v>
      </c>
    </row>
    <row r="11" customFormat="false" ht="12" hidden="false" customHeight="false" outlineLevel="0" collapsed="false">
      <c r="B11" s="4" t="s">
        <v>185</v>
      </c>
      <c r="E11" s="41" t="n">
        <v>1</v>
      </c>
      <c r="F11" s="41" t="n">
        <f aca="false">E11+1</f>
        <v>2</v>
      </c>
      <c r="G11" s="41" t="n">
        <f aca="false">F11+1</f>
        <v>3</v>
      </c>
      <c r="H11" s="41" t="n">
        <f aca="false">G11+1</f>
        <v>4</v>
      </c>
      <c r="I11" s="41" t="n">
        <f aca="false">H11+1</f>
        <v>5</v>
      </c>
      <c r="J11" s="41" t="n">
        <f aca="false">I11+1</f>
        <v>6</v>
      </c>
      <c r="K11" s="41" t="n">
        <f aca="false">J11+1</f>
        <v>7</v>
      </c>
      <c r="L11" s="41" t="n">
        <f aca="false">K11+1</f>
        <v>8</v>
      </c>
      <c r="M11" s="41" t="n">
        <f aca="false">L11+1</f>
        <v>9</v>
      </c>
      <c r="N11" s="41" t="n">
        <f aca="false">M11+1</f>
        <v>10</v>
      </c>
      <c r="O11" s="41" t="n">
        <f aca="false">N11+1</f>
        <v>11</v>
      </c>
      <c r="P11" s="41" t="n">
        <f aca="false">O11+1</f>
        <v>12</v>
      </c>
      <c r="Q11" s="41"/>
      <c r="R11" s="41" t="str">
        <f aca="false">TEXT(incurred_date,"mmm")&amp;" YTD"</f>
        <v>Nov YTD</v>
      </c>
      <c r="S11" s="41"/>
      <c r="T11" s="41" t="s">
        <v>176</v>
      </c>
      <c r="U11" s="41" t="s">
        <v>177</v>
      </c>
      <c r="V11" s="41" t="s">
        <v>178</v>
      </c>
      <c r="W11" s="41" t="s">
        <v>179</v>
      </c>
      <c r="X11" s="41"/>
      <c r="Y11" s="41" t="s">
        <v>180</v>
      </c>
    </row>
    <row r="12" customFormat="false" ht="12" hidden="false" customHeight="false" outlineLevel="0" collapsed="false">
      <c r="C12" s="41" t="n">
        <v>2024</v>
      </c>
      <c r="E12" s="45" t="n">
        <f aca="false">IFERROR(GETPIVOTDATA("ultimate_incurred",pivot!$C$20,"year",$C12,"month",E$11),0)</f>
        <v>87270577.08</v>
      </c>
      <c r="F12" s="45" t="n">
        <f aca="false">IFERROR(GETPIVOTDATA("ultimate_incurred",pivot!$C$20,"year",$C12,"month",F$11),0)</f>
        <v>86675378.18</v>
      </c>
      <c r="G12" s="45" t="n">
        <f aca="false">IFERROR(GETPIVOTDATA("ultimate_incurred",pivot!$C$20,"year",$C12,"month",G$11),0)</f>
        <v>86336601.4</v>
      </c>
      <c r="H12" s="45" t="n">
        <f aca="false">IFERROR(GETPIVOTDATA("ultimate_incurred",pivot!$C$20,"year",$C12,"month",H$11),0)</f>
        <v>82314493.82</v>
      </c>
      <c r="I12" s="45" t="n">
        <f aca="false">IFERROR(GETPIVOTDATA("ultimate_incurred",pivot!$C$20,"year",$C12,"month",I$11),0)</f>
        <v>82415729.77</v>
      </c>
      <c r="J12" s="45" t="n">
        <f aca="false">IFERROR(GETPIVOTDATA("ultimate_incurred",pivot!$C$20,"year",$C12,"month",J$11),0)</f>
        <v>79831619.42</v>
      </c>
      <c r="K12" s="45" t="n">
        <f aca="false">IFERROR(GETPIVOTDATA("ultimate_incurred",pivot!$C$20,"year",$C12,"month",K$11),0)</f>
        <v>78713647.78</v>
      </c>
      <c r="L12" s="45" t="n">
        <f aca="false">IFERROR(GETPIVOTDATA("ultimate_incurred",pivot!$C$20,"year",$C12,"month",L$11),0)</f>
        <v>77980131.68</v>
      </c>
      <c r="M12" s="45" t="n">
        <f aca="false">IFERROR(GETPIVOTDATA("ultimate_incurred",pivot!$C$20,"year",$C12,"month",M$11),0)</f>
        <v>83054017.6</v>
      </c>
      <c r="N12" s="45" t="n">
        <f aca="false">IFERROR(GETPIVOTDATA("ultimate_incurred",pivot!$C$20,"year",$C12,"month",N$11),0)</f>
        <v>84666871.68</v>
      </c>
      <c r="O12" s="45" t="n">
        <f aca="false">IFERROR(GETPIVOTDATA("ultimate_incurred",pivot!$C$20,"year",$C12,"month",O$11),0)</f>
        <v>92509857.75</v>
      </c>
      <c r="P12" s="45" t="n">
        <f aca="false">IFERROR(GETPIVOTDATA("ultimate_incurred",pivot!$C$20,"year",$C12,"month",P$11),0)</f>
        <v>94131649.43</v>
      </c>
      <c r="R12" s="45" t="n">
        <f aca="false">AVERAGEIFS(E12:P12,$E$2:$P$2,1)</f>
        <v>83797175.1054546</v>
      </c>
      <c r="S12" s="45"/>
      <c r="T12" s="45" t="n">
        <f aca="false">AVERAGEIFS($E12:$P12,$E$1:$P$1,T$3)</f>
        <v>86760852.22</v>
      </c>
      <c r="U12" s="45" t="n">
        <f aca="false">AVERAGEIFS($E12:$P12,$E$1:$P$1,U$3)</f>
        <v>81520614.3366667</v>
      </c>
      <c r="V12" s="45" t="n">
        <f aca="false">AVERAGEIFS($E12:$P12,$E$1:$P$1,V$3)</f>
        <v>79915932.3533333</v>
      </c>
      <c r="W12" s="45" t="n">
        <f aca="false">AVERAGEIFS($E12:$P12,$E$1:$P$1,W$3)</f>
        <v>90436126.2866667</v>
      </c>
      <c r="X12" s="45"/>
      <c r="Y12" s="45" t="n">
        <f aca="false">AVERAGE(E12:P12)</f>
        <v>84658381.2991667</v>
      </c>
    </row>
    <row r="13" customFormat="false" ht="12" hidden="false" customHeight="false" outlineLevel="0" collapsed="false">
      <c r="C13" s="41" t="n">
        <v>2025</v>
      </c>
      <c r="E13" s="45" t="n">
        <f aca="false">IF(E$2=0,0,IFERROR(GETPIVOTDATA("ultimate_incurred",pivot!$C$20,"year",$C13,"month",E$11),0))</f>
        <v>93338479.25</v>
      </c>
      <c r="F13" s="45" t="n">
        <f aca="false">IF(F$2=0,0,IFERROR(GETPIVOTDATA("ultimate_incurred",pivot!$C$20,"year",$C13,"month",F$11),0))</f>
        <v>93935484.8</v>
      </c>
      <c r="G13" s="45" t="n">
        <f aca="false">IF(G$2=0,0,IFERROR(GETPIVOTDATA("ultimate_incurred",pivot!$C$20,"year",$C13,"month",G$11),0))</f>
        <v>89912204.15</v>
      </c>
      <c r="H13" s="45" t="n">
        <f aca="false">IF(H$2=0,0,IFERROR(GETPIVOTDATA("ultimate_incurred",pivot!$C$20,"year",$C13,"month",H$11),0))</f>
        <v>89817650.7607166</v>
      </c>
      <c r="I13" s="45" t="n">
        <f aca="false">IF(I$2=0,0,IFERROR(GETPIVOTDATA("ultimate_incurred",pivot!$C$20,"year",$C13,"month",I$11),0))</f>
        <v>84836594.3779968</v>
      </c>
      <c r="J13" s="45" t="n">
        <f aca="false">IF(J$2=0,0,IFERROR(GETPIVOTDATA("ultimate_incurred",pivot!$C$20,"year",$C13,"month",J$11),0))</f>
        <v>82454015.5957702</v>
      </c>
      <c r="K13" s="45" t="n">
        <f aca="false">IF(K$2=0,0,IFERROR(GETPIVOTDATA("ultimate_incurred",pivot!$C$20,"year",$C13,"month",K$11),0))</f>
        <v>86970387.1232119</v>
      </c>
      <c r="L13" s="45" t="n">
        <f aca="false">IF(L$2=0,0,IFERROR(GETPIVOTDATA("ultimate_incurred",pivot!$C$20,"year",$C13,"month",L$11),0))</f>
        <v>87656592.9747545</v>
      </c>
      <c r="M13" s="45" t="n">
        <f aca="false">IF(M$2=0,0,IFERROR(GETPIVOTDATA("ultimate_incurred",pivot!$C$20,"year",$C13,"month",M$11),0))</f>
        <v>90754402.6542549</v>
      </c>
      <c r="N13" s="45" t="n">
        <f aca="false">IF(N$2=0,0,IFERROR(GETPIVOTDATA("ultimate_incurred",pivot!$C$20,"year",$C13,"month",N$11),0))</f>
        <v>95596356.8233814</v>
      </c>
      <c r="O13" s="45" t="n">
        <f aca="false">IF(O$2=0,0,IFERROR(GETPIVOTDATA("ultimate_incurred",pivot!$C$20,"year",$C13,"month",O$11),0))</f>
        <v>91191054.8963016</v>
      </c>
      <c r="P13" s="45" t="n">
        <f aca="false">IF(P$2=0,0,IFERROR(GETPIVOTDATA("ultimate_incurred",pivot!$C$20,"year",$C13,"month",P$11),0))</f>
        <v>0</v>
      </c>
      <c r="R13" s="45" t="n">
        <f aca="false">AVERAGEIFS(E13:P13,$E$2:$P$2,1)</f>
        <v>89678474.8551262</v>
      </c>
      <c r="S13" s="45"/>
      <c r="T13" s="45" t="n">
        <f aca="false">AVERAGEIFS($E13:$P13,$E$1:$P$1,T$3)</f>
        <v>92395389.4</v>
      </c>
      <c r="U13" s="45" t="n">
        <f aca="false">AVERAGEIFS($E13:$P13,$E$1:$P$1,U$3)</f>
        <v>85702753.5781612</v>
      </c>
      <c r="V13" s="45" t="n">
        <f aca="false">AVERAGEIFS($E13:$P13,$E$1:$P$1,V$3)</f>
        <v>88460460.9174071</v>
      </c>
      <c r="W13" s="45" t="n">
        <f aca="false">AVERAGEIFS($E13:$P13,$E$1:$P$1,W$3)</f>
        <v>62262470.5732277</v>
      </c>
      <c r="X13" s="45"/>
      <c r="Y13" s="45"/>
    </row>
    <row r="16" customFormat="false" ht="12" hidden="false" customHeight="false" outlineLevel="0" collapsed="false">
      <c r="B16" s="4" t="s">
        <v>186</v>
      </c>
      <c r="E16" s="41" t="n">
        <v>1</v>
      </c>
      <c r="F16" s="41" t="n">
        <f aca="false">E16+1</f>
        <v>2</v>
      </c>
      <c r="G16" s="41" t="n">
        <f aca="false">F16+1</f>
        <v>3</v>
      </c>
      <c r="H16" s="41" t="n">
        <f aca="false">G16+1</f>
        <v>4</v>
      </c>
      <c r="I16" s="41" t="n">
        <f aca="false">H16+1</f>
        <v>5</v>
      </c>
      <c r="J16" s="41" t="n">
        <f aca="false">I16+1</f>
        <v>6</v>
      </c>
      <c r="K16" s="41" t="n">
        <f aca="false">J16+1</f>
        <v>7</v>
      </c>
      <c r="L16" s="41" t="n">
        <f aca="false">K16+1</f>
        <v>8</v>
      </c>
      <c r="M16" s="41" t="n">
        <f aca="false">L16+1</f>
        <v>9</v>
      </c>
      <c r="N16" s="41" t="n">
        <f aca="false">M16+1</f>
        <v>10</v>
      </c>
      <c r="O16" s="41" t="n">
        <f aca="false">N16+1</f>
        <v>11</v>
      </c>
      <c r="P16" s="41" t="n">
        <f aca="false">O16+1</f>
        <v>12</v>
      </c>
      <c r="Q16" s="41"/>
      <c r="R16" s="41" t="str">
        <f aca="false">TEXT(incurred_date,"mmm")&amp;" YTD"</f>
        <v>Nov YTD</v>
      </c>
      <c r="S16" s="41"/>
      <c r="T16" s="41" t="s">
        <v>176</v>
      </c>
      <c r="U16" s="41" t="s">
        <v>177</v>
      </c>
      <c r="V16" s="41" t="s">
        <v>178</v>
      </c>
      <c r="W16" s="41" t="s">
        <v>179</v>
      </c>
      <c r="X16" s="41"/>
      <c r="Y16" s="41" t="s">
        <v>180</v>
      </c>
    </row>
    <row r="17" customFormat="false" ht="12" hidden="false" customHeight="false" outlineLevel="0" collapsed="false">
      <c r="C17" s="41" t="n">
        <v>2024</v>
      </c>
      <c r="E17" s="45" t="n">
        <f aca="false">IFERROR(E12/E7,0)</f>
        <v>897.485341066856</v>
      </c>
      <c r="F17" s="45" t="n">
        <f aca="false">IFERROR(F12/F7,0)</f>
        <v>885.870875288731</v>
      </c>
      <c r="G17" s="45" t="n">
        <f aca="false">IFERROR(G12/G7,0)</f>
        <v>889.197192440394</v>
      </c>
      <c r="H17" s="45" t="n">
        <f aca="false">IFERROR(H12/H7,0)</f>
        <v>845.465220008217</v>
      </c>
      <c r="I17" s="45" t="n">
        <f aca="false">IFERROR(I12/I7,0)</f>
        <v>843.33472944764</v>
      </c>
      <c r="J17" s="45" t="n">
        <f aca="false">IFERROR(J12/J7,0)</f>
        <v>815.507083520614</v>
      </c>
      <c r="K17" s="45" t="n">
        <f aca="false">IFERROR(K12/K7,0)</f>
        <v>801.262739904517</v>
      </c>
      <c r="L17" s="45" t="n">
        <f aca="false">IFERROR(L12/L7,0)</f>
        <v>793.537450060548</v>
      </c>
      <c r="M17" s="45" t="n">
        <f aca="false">IFERROR(M12/M7,0)</f>
        <v>843.607658632213</v>
      </c>
      <c r="N17" s="45" t="n">
        <f aca="false">IFERROR(N12/N7,0)</f>
        <v>861.056978917715</v>
      </c>
      <c r="O17" s="45" t="n">
        <f aca="false">IFERROR(O12/O7,0)</f>
        <v>940.504033569875</v>
      </c>
      <c r="P17" s="45" t="n">
        <f aca="false">IFERROR(P12/P7,0)</f>
        <v>960.311454877477</v>
      </c>
      <c r="R17" s="45" t="n">
        <f aca="false">IFERROR(R12/R7,0)</f>
        <v>856.02453019218</v>
      </c>
      <c r="T17" s="45" t="n">
        <f aca="false">IFERROR(T12/T7,0)</f>
        <v>890.841673032693</v>
      </c>
      <c r="U17" s="45" t="n">
        <f aca="false">IFERROR(U12/U7,0)</f>
        <v>834.744735133696</v>
      </c>
      <c r="V17" s="45" t="n">
        <f aca="false">IFERROR(V12/V7,0)</f>
        <v>812.822876080242</v>
      </c>
      <c r="W17" s="45" t="n">
        <f aca="false">IFERROR(W12/W7,0)</f>
        <v>920.585039886262</v>
      </c>
      <c r="Y17" s="45" t="n">
        <f aca="false">IFERROR(Y12/Y7,0)</f>
        <v>864.72575942439</v>
      </c>
    </row>
    <row r="18" customFormat="false" ht="12" hidden="false" customHeight="false" outlineLevel="0" collapsed="false">
      <c r="C18" s="41" t="n">
        <v>2025</v>
      </c>
      <c r="E18" s="45" t="n">
        <f aca="false">IF(E$2=0,"",IFERROR(E13/E8,0))</f>
        <v>937.924346336268</v>
      </c>
      <c r="F18" s="45" t="n">
        <f aca="false">IF(F$2=0,"",IFERROR(F13/F8,0))</f>
        <v>945.262740125786</v>
      </c>
      <c r="G18" s="45" t="n">
        <f aca="false">IF(G$2=0,"",IFERROR(G13/G8,0))</f>
        <v>898.924278158805</v>
      </c>
      <c r="H18" s="45" t="n">
        <f aca="false">IF(H$2=0,"",IFERROR(H13/H8,0))</f>
        <v>901.87419179352</v>
      </c>
      <c r="I18" s="45" t="n">
        <f aca="false">IF(I$2=0,"",IFERROR(I13/I8,0))</f>
        <v>850.935769804778</v>
      </c>
      <c r="J18" s="45" t="n">
        <f aca="false">IF(J$2=0,"",IFERROR(J13/J8,0))</f>
        <v>824.779341966872</v>
      </c>
      <c r="K18" s="45" t="n">
        <f aca="false">IF(K$2=0,"",IFERROR(K13/K8,0))</f>
        <v>869.286613657563</v>
      </c>
      <c r="L18" s="45" t="n">
        <f aca="false">IF(L$2=0,"",IFERROR(L13/L8,0))</f>
        <v>870.956966880832</v>
      </c>
      <c r="M18" s="45" t="n">
        <f aca="false">IF(M$2=0,"",IFERROR(M13/M8,0))</f>
        <v>907.970772805768</v>
      </c>
      <c r="N18" s="45" t="n">
        <f aca="false">IF(N$2=0,"",IFERROR(N13/N8,0))</f>
        <v>957.006705542855</v>
      </c>
      <c r="O18" s="45" t="n">
        <f aca="false">IF(O$2=0,"",IFERROR(O13/O8,0))</f>
        <v>908.485558407819</v>
      </c>
      <c r="P18" s="45" t="str">
        <f aca="false">IF(P$2=0,"",IFERROR(P13/P8,0))</f>
        <v/>
      </c>
      <c r="R18" s="45" t="n">
        <f aca="false">IFERROR(R13/R8,0)</f>
        <v>897.531331431498</v>
      </c>
      <c r="T18" s="45" t="n">
        <f aca="false">IF(T2=0,"",IFERROR(T13/T8,0))</f>
        <v>927.313861223834</v>
      </c>
      <c r="U18" s="45" t="n">
        <f aca="false">IF(U2=0,"",IFERROR(U13/U8,0))</f>
        <v>859.149635381003</v>
      </c>
      <c r="V18" s="45" t="n">
        <f aca="false">IF(V2=0,"",IFERROR(V13/V8,0))</f>
        <v>882.706789576482</v>
      </c>
      <c r="W18" s="45" t="n">
        <f aca="false">IF(W2=0,"",IFERROR(W13/W8,0))</f>
        <v>932.687257673133</v>
      </c>
      <c r="Y18" s="45"/>
    </row>
    <row r="20" customFormat="false" ht="12" hidden="false" customHeight="false" outlineLevel="0" collapsed="false">
      <c r="B20" s="4" t="s">
        <v>181</v>
      </c>
    </row>
    <row r="21" customFormat="false" ht="12" hidden="false" customHeight="false" outlineLevel="0" collapsed="false">
      <c r="C21" s="41" t="s">
        <v>187</v>
      </c>
      <c r="E21" s="46" t="n">
        <f aca="false">IF(E2=0,"",E18/E17-1)</f>
        <v>0.0450581234244352</v>
      </c>
      <c r="F21" s="46" t="n">
        <f aca="false">IF(F2=0,"",F18/F17-1)</f>
        <v>0.0670434783372889</v>
      </c>
      <c r="G21" s="46" t="n">
        <f aca="false">IF(G2=0,"",G18/G17-1)</f>
        <v>0.0109391772726091</v>
      </c>
      <c r="H21" s="46" t="n">
        <f aca="false">IF(H2=0,"",H18/H17-1)</f>
        <v>0.0667194468209522</v>
      </c>
      <c r="I21" s="46" t="n">
        <f aca="false">IF(I2=0,"",I18/I17-1)</f>
        <v>0.00901307641168425</v>
      </c>
      <c r="J21" s="46" t="n">
        <f aca="false">IF(J2=0,"",J18/J17-1)</f>
        <v>0.0113699299903425</v>
      </c>
      <c r="K21" s="46" t="n">
        <f aca="false">IF(K2=0,"",K18/K17-1)</f>
        <v>0.0848958404844245</v>
      </c>
      <c r="L21" s="46" t="n">
        <f aca="false">IF(L2=0,"",L18/L17-1)</f>
        <v>0.0975625243829092</v>
      </c>
      <c r="M21" s="46" t="n">
        <f aca="false">IF(M2=0,"",M18/M17-1)</f>
        <v>0.0762950804381157</v>
      </c>
      <c r="N21" s="46" t="n">
        <f aca="false">IF(N2=0,"",N18/N17-1)</f>
        <v>0.111432493986335</v>
      </c>
      <c r="O21" s="46" t="n">
        <f aca="false">IF(O2=0,"",O18/O17-1)</f>
        <v>-0.0340439530498587</v>
      </c>
      <c r="P21" s="46" t="str">
        <f aca="false">IF(P2=0,"",P18/P17-1)</f>
        <v/>
      </c>
      <c r="R21" s="46" t="n">
        <f aca="false">IF(R2=0,"",R18/R17-1)</f>
        <v>0.0484878642788416</v>
      </c>
      <c r="T21" s="46" t="n">
        <f aca="false">IF(T2=0,"",T18/T17-1)</f>
        <v>0.0409412685724269</v>
      </c>
      <c r="U21" s="46" t="n">
        <f aca="false">IF(U2=0,"",U18/U17-1)</f>
        <v>0.0292363631899975</v>
      </c>
      <c r="V21" s="46" t="n">
        <f aca="false">IF(V2=0,"",V18/V17-1)</f>
        <v>0.0859768044832197</v>
      </c>
      <c r="W21" s="46" t="n">
        <f aca="false">IF(W2=0,"",W18/W17-1)</f>
        <v>0.0131462246968144</v>
      </c>
    </row>
    <row r="23" customFormat="false" ht="12" hidden="false" customHeight="false" outlineLevel="0" collapsed="false">
      <c r="B23" s="4" t="s">
        <v>188</v>
      </c>
    </row>
    <row r="24" customFormat="false" ht="12" hidden="false" customHeight="false" outlineLevel="0" collapsed="false">
      <c r="C24" s="41" t="n">
        <v>2025</v>
      </c>
      <c r="E24" s="47" t="n">
        <f aca="false">IF(E3=0,NA(),E18)</f>
        <v>937.924346336268</v>
      </c>
      <c r="F24" s="47" t="n">
        <f aca="false">IF(F3=0,NA(),F18)</f>
        <v>945.262740125786</v>
      </c>
      <c r="G24" s="47" t="n">
        <f aca="false">IF(G3=0,NA(),G18)</f>
        <v>898.924278158805</v>
      </c>
      <c r="H24" s="47" t="n">
        <f aca="false">IF(H3=0,NA(),H18)</f>
        <v>901.87419179352</v>
      </c>
      <c r="I24" s="47" t="n">
        <f aca="false">IF(I3=0,NA(),I18)</f>
        <v>850.935769804778</v>
      </c>
      <c r="J24" s="47" t="n">
        <f aca="false">IF(J3=0,NA(),J18)</f>
        <v>824.779341966872</v>
      </c>
      <c r="K24" s="47" t="n">
        <f aca="false">IF(K3=0,NA(),K18)</f>
        <v>869.286613657563</v>
      </c>
      <c r="L24" s="47" t="n">
        <f aca="false">IF(L3=0,NA(),L18)</f>
        <v>870.956966880832</v>
      </c>
      <c r="M24" s="47" t="n">
        <f aca="false">IF(M3=0,NA(),M18)</f>
        <v>907.970772805768</v>
      </c>
      <c r="N24" s="47" t="n">
        <f aca="false">IF(N3=0,NA(),N18)</f>
        <v>957.006705542855</v>
      </c>
      <c r="O24" s="47" t="n">
        <f aca="false">IF(O3=0,NA(),O18)</f>
        <v>908.485558407819</v>
      </c>
      <c r="P24" s="47" t="e">
        <f aca="false">IF(P3=0,NA(),P18)</f>
        <v>#N/A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73046875" defaultRowHeight="12" customHeight="false" zeroHeight="false" outlineLevelRow="0" outlineLevelCol="0"/>
  <cols>
    <col collapsed="false" customWidth="false" hidden="false" outlineLevel="0" max="1" min="1" style="1" width="8.73"/>
    <col collapsed="false" customWidth="false" hidden="false" outlineLevel="0" max="2" min="2" style="4" width="8.73"/>
    <col collapsed="false" customWidth="true" hidden="false" outlineLevel="0" max="3" min="3" style="1" width="22.37"/>
    <col collapsed="false" customWidth="true" hidden="false" outlineLevel="0" max="4" min="4" style="1" width="13.36"/>
    <col collapsed="false" customWidth="true" hidden="false" outlineLevel="0" max="15" min="5" style="1" width="11"/>
    <col collapsed="false" customWidth="true" hidden="false" outlineLevel="0" max="16" min="16" style="1" width="12.27"/>
    <col collapsed="false" customWidth="false" hidden="false" outlineLevel="0" max="16384" min="17" style="1" width="8.73"/>
  </cols>
  <sheetData>
    <row r="2" customFormat="false" ht="13.8" hidden="false" customHeight="false" outlineLevel="0" collapsed="false">
      <c r="B2" s="4" t="s">
        <v>184</v>
      </c>
      <c r="C2" s="48" t="s">
        <v>189</v>
      </c>
      <c r="D2" s="49" t="s">
        <v>190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1"/>
    </row>
    <row r="3" customFormat="false" ht="13.8" hidden="false" customHeight="false" outlineLevel="0" collapsed="false">
      <c r="C3" s="52" t="s">
        <v>191</v>
      </c>
      <c r="D3" s="53" t="n">
        <v>1</v>
      </c>
      <c r="E3" s="54" t="n">
        <v>2</v>
      </c>
      <c r="F3" s="54" t="n">
        <v>3</v>
      </c>
      <c r="G3" s="54" t="n">
        <v>4</v>
      </c>
      <c r="H3" s="54" t="n">
        <v>5</v>
      </c>
      <c r="I3" s="54" t="n">
        <v>6</v>
      </c>
      <c r="J3" s="54" t="n">
        <v>7</v>
      </c>
      <c r="K3" s="54" t="n">
        <v>8</v>
      </c>
      <c r="L3" s="54" t="n">
        <v>9</v>
      </c>
      <c r="M3" s="54" t="n">
        <v>10</v>
      </c>
      <c r="N3" s="54" t="n">
        <v>11</v>
      </c>
      <c r="O3" s="54" t="n">
        <v>12</v>
      </c>
      <c r="P3" s="55" t="s">
        <v>192</v>
      </c>
    </row>
    <row r="4" customFormat="false" ht="12" hidden="false" customHeight="false" outlineLevel="0" collapsed="false">
      <c r="C4" s="56" t="n">
        <v>2024</v>
      </c>
      <c r="D4" s="57" t="n">
        <v>97239</v>
      </c>
      <c r="E4" s="58" t="n">
        <v>97842</v>
      </c>
      <c r="F4" s="58" t="n">
        <v>97095</v>
      </c>
      <c r="G4" s="58" t="n">
        <v>97360</v>
      </c>
      <c r="H4" s="58" t="n">
        <v>97726</v>
      </c>
      <c r="I4" s="58" t="n">
        <v>97892</v>
      </c>
      <c r="J4" s="58" t="n">
        <v>98237</v>
      </c>
      <c r="K4" s="58" t="n">
        <v>98269</v>
      </c>
      <c r="L4" s="58" t="n">
        <v>98451</v>
      </c>
      <c r="M4" s="58" t="n">
        <v>98329</v>
      </c>
      <c r="N4" s="58" t="n">
        <v>98362</v>
      </c>
      <c r="O4" s="59" t="n">
        <v>98022</v>
      </c>
      <c r="P4" s="60" t="n">
        <v>1174824</v>
      </c>
    </row>
    <row r="5" customFormat="false" ht="12" hidden="false" customHeight="false" outlineLevel="0" collapsed="false">
      <c r="C5" s="61" t="n">
        <v>2025</v>
      </c>
      <c r="D5" s="62" t="n">
        <v>99516</v>
      </c>
      <c r="E5" s="63" t="n">
        <v>99375</v>
      </c>
      <c r="F5" s="63" t="n">
        <v>100022</v>
      </c>
      <c r="G5" s="63" t="n">
        <v>99590</v>
      </c>
      <c r="H5" s="63" t="n">
        <v>99698</v>
      </c>
      <c r="I5" s="63" t="n">
        <v>99971</v>
      </c>
      <c r="J5" s="63" t="n">
        <v>100048</v>
      </c>
      <c r="K5" s="63" t="n">
        <v>100644</v>
      </c>
      <c r="L5" s="63" t="n">
        <v>99953</v>
      </c>
      <c r="M5" s="63" t="n">
        <v>99891</v>
      </c>
      <c r="N5" s="63" t="n">
        <v>100377</v>
      </c>
      <c r="O5" s="64" t="n">
        <v>100237</v>
      </c>
      <c r="P5" s="65" t="n">
        <v>1199322</v>
      </c>
    </row>
    <row r="6" customFormat="false" ht="12" hidden="false" customHeight="false" outlineLevel="0" collapsed="false">
      <c r="C6" s="61" t="n">
        <v>2026</v>
      </c>
      <c r="D6" s="66" t="n">
        <v>100971</v>
      </c>
      <c r="E6" s="67"/>
      <c r="F6" s="67"/>
      <c r="G6" s="67"/>
      <c r="H6" s="67"/>
      <c r="I6" s="67"/>
      <c r="J6" s="67"/>
      <c r="K6" s="67"/>
      <c r="L6" s="67"/>
      <c r="M6" s="67"/>
      <c r="N6" s="67"/>
      <c r="O6" s="68"/>
      <c r="P6" s="69" t="n">
        <v>100971</v>
      </c>
    </row>
    <row r="7" customFormat="false" ht="13.8" hidden="false" customHeight="false" outlineLevel="0" collapsed="false">
      <c r="C7" s="70" t="s">
        <v>192</v>
      </c>
      <c r="D7" s="71" t="n">
        <v>297726</v>
      </c>
      <c r="E7" s="72" t="n">
        <v>197217</v>
      </c>
      <c r="F7" s="72" t="n">
        <v>197117</v>
      </c>
      <c r="G7" s="72" t="n">
        <v>196950</v>
      </c>
      <c r="H7" s="72" t="n">
        <v>197424</v>
      </c>
      <c r="I7" s="72" t="n">
        <v>197863</v>
      </c>
      <c r="J7" s="72" t="n">
        <v>198285</v>
      </c>
      <c r="K7" s="72" t="n">
        <v>198913</v>
      </c>
      <c r="L7" s="72" t="n">
        <v>198404</v>
      </c>
      <c r="M7" s="72" t="n">
        <v>198220</v>
      </c>
      <c r="N7" s="72" t="n">
        <v>198739</v>
      </c>
      <c r="O7" s="73" t="n">
        <v>198259</v>
      </c>
      <c r="P7" s="74" t="n">
        <v>2475117</v>
      </c>
    </row>
    <row r="20" customFormat="false" ht="13.8" hidden="false" customHeight="false" outlineLevel="0" collapsed="false">
      <c r="B20" s="4" t="s">
        <v>185</v>
      </c>
      <c r="C20" s="48" t="s">
        <v>193</v>
      </c>
      <c r="D20" s="49" t="s">
        <v>190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1"/>
    </row>
    <row r="21" customFormat="false" ht="13.8" hidden="false" customHeight="false" outlineLevel="0" collapsed="false">
      <c r="C21" s="52" t="s">
        <v>191</v>
      </c>
      <c r="D21" s="53" t="n">
        <v>1</v>
      </c>
      <c r="E21" s="54" t="n">
        <v>2</v>
      </c>
      <c r="F21" s="54" t="n">
        <v>3</v>
      </c>
      <c r="G21" s="54" t="n">
        <v>4</v>
      </c>
      <c r="H21" s="54" t="n">
        <v>5</v>
      </c>
      <c r="I21" s="54" t="n">
        <v>6</v>
      </c>
      <c r="J21" s="54" t="n">
        <v>7</v>
      </c>
      <c r="K21" s="54" t="n">
        <v>8</v>
      </c>
      <c r="L21" s="54" t="n">
        <v>9</v>
      </c>
      <c r="M21" s="54" t="n">
        <v>10</v>
      </c>
      <c r="N21" s="54" t="n">
        <v>11</v>
      </c>
      <c r="O21" s="54" t="n">
        <v>12</v>
      </c>
      <c r="P21" s="55" t="s">
        <v>192</v>
      </c>
    </row>
    <row r="22" customFormat="false" ht="12" hidden="false" customHeight="false" outlineLevel="0" collapsed="false">
      <c r="C22" s="56" t="n">
        <v>2024</v>
      </c>
      <c r="D22" s="75" t="n">
        <v>87270577.08</v>
      </c>
      <c r="E22" s="76" t="n">
        <v>86675378.18</v>
      </c>
      <c r="F22" s="76" t="n">
        <v>86336601.4</v>
      </c>
      <c r="G22" s="76" t="n">
        <v>82314493.82</v>
      </c>
      <c r="H22" s="76" t="n">
        <v>82415729.77</v>
      </c>
      <c r="I22" s="76" t="n">
        <v>79831619.42</v>
      </c>
      <c r="J22" s="76" t="n">
        <v>78713647.78</v>
      </c>
      <c r="K22" s="76" t="n">
        <v>77980131.68</v>
      </c>
      <c r="L22" s="76" t="n">
        <v>83054017.6</v>
      </c>
      <c r="M22" s="76" t="n">
        <v>84666871.68</v>
      </c>
      <c r="N22" s="76" t="n">
        <v>92509857.75</v>
      </c>
      <c r="O22" s="77" t="n">
        <v>94131649.43</v>
      </c>
      <c r="P22" s="78" t="n">
        <v>1015900575.59</v>
      </c>
    </row>
    <row r="23" customFormat="false" ht="12" hidden="false" customHeight="false" outlineLevel="0" collapsed="false">
      <c r="C23" s="61" t="n">
        <v>2025</v>
      </c>
      <c r="D23" s="79" t="n">
        <v>93338479.25</v>
      </c>
      <c r="E23" s="80" t="n">
        <v>93935484.8</v>
      </c>
      <c r="F23" s="80" t="n">
        <v>89912204.15</v>
      </c>
      <c r="G23" s="80" t="n">
        <v>89817650.7607166</v>
      </c>
      <c r="H23" s="80" t="n">
        <v>84836594.3779968</v>
      </c>
      <c r="I23" s="80" t="n">
        <v>82454015.5957702</v>
      </c>
      <c r="J23" s="80" t="n">
        <v>86970387.1232119</v>
      </c>
      <c r="K23" s="80" t="n">
        <v>87656592.9747545</v>
      </c>
      <c r="L23" s="80" t="n">
        <v>90754402.6542549</v>
      </c>
      <c r="M23" s="80" t="n">
        <v>95596356.8233814</v>
      </c>
      <c r="N23" s="80" t="n">
        <v>91191054.8963016</v>
      </c>
      <c r="O23" s="81" t="n">
        <v>58439883.5171315</v>
      </c>
      <c r="P23" s="82" t="n">
        <v>1044903106.92352</v>
      </c>
    </row>
    <row r="24" customFormat="false" ht="12" hidden="false" customHeight="false" outlineLevel="0" collapsed="false">
      <c r="C24" s="61" t="n">
        <v>2026</v>
      </c>
      <c r="D24" s="83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5"/>
      <c r="P24" s="86"/>
    </row>
    <row r="25" customFormat="false" ht="13.8" hidden="false" customHeight="false" outlineLevel="0" collapsed="false">
      <c r="C25" s="70" t="s">
        <v>192</v>
      </c>
      <c r="D25" s="87" t="n">
        <v>180609056.33</v>
      </c>
      <c r="E25" s="88" t="n">
        <v>180610862.98</v>
      </c>
      <c r="F25" s="88" t="n">
        <v>176248805.55</v>
      </c>
      <c r="G25" s="88" t="n">
        <v>172132144.580717</v>
      </c>
      <c r="H25" s="88" t="n">
        <v>167252324.147997</v>
      </c>
      <c r="I25" s="88" t="n">
        <v>162285635.01577</v>
      </c>
      <c r="J25" s="88" t="n">
        <v>165684034.903212</v>
      </c>
      <c r="K25" s="88" t="n">
        <v>165636724.654754</v>
      </c>
      <c r="L25" s="88" t="n">
        <v>173808420.254255</v>
      </c>
      <c r="M25" s="88" t="n">
        <v>180263228.503381</v>
      </c>
      <c r="N25" s="88" t="n">
        <v>183700912.646302</v>
      </c>
      <c r="O25" s="89" t="n">
        <v>152571532.947131</v>
      </c>
      <c r="P25" s="90" t="n">
        <v>2060803682.51352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F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51" activePane="bottomLeft" state="frozen"/>
      <selection pane="topLeft" activeCell="A1" activeCellId="0" sqref="A1"/>
      <selection pane="bottomLeft" activeCell="F55" activeCellId="0" sqref="F55"/>
    </sheetView>
  </sheetViews>
  <sheetFormatPr defaultColWidth="8.73046875" defaultRowHeight="12" customHeight="false" zeroHeight="false" outlineLevelRow="0" outlineLevelCol="0"/>
  <cols>
    <col collapsed="false" customWidth="false" hidden="false" outlineLevel="0" max="4" min="1" style="1" width="8.73"/>
    <col collapsed="false" customWidth="true" hidden="false" outlineLevel="0" max="5" min="5" style="1" width="13.73"/>
    <col collapsed="false" customWidth="true" hidden="false" outlineLevel="0" max="6" min="6" style="45" width="12.27"/>
    <col collapsed="false" customWidth="false" hidden="false" outlineLevel="0" max="16384" min="7" style="1" width="8.73"/>
  </cols>
  <sheetData>
    <row r="6" customFormat="false" ht="12" hidden="false" customHeight="false" outlineLevel="0" collapsed="false">
      <c r="A6" s="4" t="s">
        <v>191</v>
      </c>
      <c r="B6" s="4" t="s">
        <v>190</v>
      </c>
      <c r="C6" s="4" t="s">
        <v>10</v>
      </c>
      <c r="D6" s="4" t="s">
        <v>11</v>
      </c>
      <c r="E6" s="91" t="s">
        <v>194</v>
      </c>
      <c r="F6" s="92" t="s">
        <v>195</v>
      </c>
    </row>
    <row r="7" customFormat="false" ht="12" hidden="false" customHeight="false" outlineLevel="0" collapsed="false">
      <c r="A7" s="1" t="n">
        <v>2024</v>
      </c>
      <c r="B7" s="1" t="n">
        <v>1</v>
      </c>
      <c r="C7" s="1" t="s">
        <v>15</v>
      </c>
      <c r="E7" s="1" t="n">
        <v>61261</v>
      </c>
    </row>
    <row r="8" customFormat="false" ht="12" hidden="false" customHeight="false" outlineLevel="0" collapsed="false">
      <c r="A8" s="1" t="n">
        <v>2024</v>
      </c>
      <c r="B8" s="1" t="n">
        <v>1</v>
      </c>
      <c r="C8" s="1" t="s">
        <v>90</v>
      </c>
      <c r="E8" s="1" t="n">
        <v>35978</v>
      </c>
    </row>
    <row r="9" customFormat="false" ht="12" hidden="false" customHeight="false" outlineLevel="0" collapsed="false">
      <c r="A9" s="1" t="n">
        <v>2024</v>
      </c>
      <c r="B9" s="1" t="n">
        <v>2</v>
      </c>
      <c r="C9" s="1" t="s">
        <v>15</v>
      </c>
      <c r="E9" s="1" t="n">
        <v>61640</v>
      </c>
    </row>
    <row r="10" customFormat="false" ht="12" hidden="false" customHeight="false" outlineLevel="0" collapsed="false">
      <c r="A10" s="1" t="n">
        <v>2024</v>
      </c>
      <c r="B10" s="1" t="n">
        <v>2</v>
      </c>
      <c r="C10" s="1" t="s">
        <v>90</v>
      </c>
      <c r="E10" s="1" t="n">
        <v>36202</v>
      </c>
    </row>
    <row r="11" customFormat="false" ht="12" hidden="false" customHeight="false" outlineLevel="0" collapsed="false">
      <c r="A11" s="1" t="n">
        <v>2024</v>
      </c>
      <c r="B11" s="1" t="n">
        <v>3</v>
      </c>
      <c r="C11" s="1" t="s">
        <v>15</v>
      </c>
      <c r="E11" s="1" t="n">
        <v>61170</v>
      </c>
    </row>
    <row r="12" customFormat="false" ht="12" hidden="false" customHeight="false" outlineLevel="0" collapsed="false">
      <c r="A12" s="1" t="n">
        <v>2024</v>
      </c>
      <c r="B12" s="1" t="n">
        <v>3</v>
      </c>
      <c r="C12" s="1" t="s">
        <v>90</v>
      </c>
      <c r="E12" s="1" t="n">
        <v>35925</v>
      </c>
    </row>
    <row r="13" customFormat="false" ht="12" hidden="false" customHeight="false" outlineLevel="0" collapsed="false">
      <c r="A13" s="1" t="n">
        <v>2024</v>
      </c>
      <c r="B13" s="1" t="n">
        <v>4</v>
      </c>
      <c r="C13" s="1" t="s">
        <v>15</v>
      </c>
      <c r="E13" s="1" t="n">
        <v>61337</v>
      </c>
    </row>
    <row r="14" customFormat="false" ht="12" hidden="false" customHeight="false" outlineLevel="0" collapsed="false">
      <c r="A14" s="1" t="n">
        <v>2024</v>
      </c>
      <c r="B14" s="1" t="n">
        <v>4</v>
      </c>
      <c r="C14" s="1" t="s">
        <v>90</v>
      </c>
      <c r="E14" s="1" t="n">
        <v>36023</v>
      </c>
    </row>
    <row r="15" customFormat="false" ht="12" hidden="false" customHeight="false" outlineLevel="0" collapsed="false">
      <c r="A15" s="1" t="n">
        <v>2024</v>
      </c>
      <c r="B15" s="1" t="n">
        <v>5</v>
      </c>
      <c r="C15" s="1" t="s">
        <v>15</v>
      </c>
      <c r="E15" s="1" t="n">
        <v>61567</v>
      </c>
    </row>
    <row r="16" customFormat="false" ht="12" hidden="false" customHeight="false" outlineLevel="0" collapsed="false">
      <c r="A16" s="1" t="n">
        <v>2024</v>
      </c>
      <c r="B16" s="1" t="n">
        <v>5</v>
      </c>
      <c r="C16" s="1" t="s">
        <v>90</v>
      </c>
      <c r="E16" s="1" t="n">
        <v>36159</v>
      </c>
    </row>
    <row r="17" customFormat="false" ht="12" hidden="false" customHeight="false" outlineLevel="0" collapsed="false">
      <c r="A17" s="1" t="n">
        <v>2024</v>
      </c>
      <c r="B17" s="1" t="n">
        <v>6</v>
      </c>
      <c r="C17" s="1" t="s">
        <v>15</v>
      </c>
      <c r="E17" s="1" t="n">
        <v>61672</v>
      </c>
    </row>
    <row r="18" customFormat="false" ht="12" hidden="false" customHeight="false" outlineLevel="0" collapsed="false">
      <c r="A18" s="1" t="n">
        <v>2024</v>
      </c>
      <c r="B18" s="1" t="n">
        <v>6</v>
      </c>
      <c r="C18" s="1" t="s">
        <v>90</v>
      </c>
      <c r="E18" s="1" t="n">
        <v>36220</v>
      </c>
    </row>
    <row r="19" customFormat="false" ht="12" hidden="false" customHeight="false" outlineLevel="0" collapsed="false">
      <c r="A19" s="1" t="n">
        <v>2024</v>
      </c>
      <c r="B19" s="1" t="n">
        <v>7</v>
      </c>
      <c r="C19" s="1" t="s">
        <v>15</v>
      </c>
      <c r="E19" s="1" t="n">
        <v>61889</v>
      </c>
    </row>
    <row r="20" customFormat="false" ht="12" hidden="false" customHeight="false" outlineLevel="0" collapsed="false">
      <c r="A20" s="1" t="n">
        <v>2024</v>
      </c>
      <c r="B20" s="1" t="n">
        <v>7</v>
      </c>
      <c r="C20" s="1" t="s">
        <v>90</v>
      </c>
      <c r="E20" s="1" t="n">
        <v>36348</v>
      </c>
    </row>
    <row r="21" customFormat="false" ht="12" hidden="false" customHeight="false" outlineLevel="0" collapsed="false">
      <c r="A21" s="1" t="n">
        <v>2024</v>
      </c>
      <c r="B21" s="1" t="n">
        <v>8</v>
      </c>
      <c r="C21" s="1" t="s">
        <v>15</v>
      </c>
      <c r="E21" s="1" t="n">
        <v>61909</v>
      </c>
    </row>
    <row r="22" customFormat="false" ht="12" hidden="false" customHeight="false" outlineLevel="0" collapsed="false">
      <c r="A22" s="1" t="n">
        <v>2024</v>
      </c>
      <c r="B22" s="1" t="n">
        <v>8</v>
      </c>
      <c r="C22" s="1" t="s">
        <v>90</v>
      </c>
      <c r="E22" s="1" t="n">
        <v>36360</v>
      </c>
    </row>
    <row r="23" customFormat="false" ht="12" hidden="false" customHeight="false" outlineLevel="0" collapsed="false">
      <c r="A23" s="1" t="n">
        <v>2024</v>
      </c>
      <c r="B23" s="1" t="n">
        <v>9</v>
      </c>
      <c r="C23" s="1" t="s">
        <v>15</v>
      </c>
      <c r="E23" s="1" t="n">
        <v>62024</v>
      </c>
    </row>
    <row r="24" customFormat="false" ht="12" hidden="false" customHeight="false" outlineLevel="0" collapsed="false">
      <c r="A24" s="1" t="n">
        <v>2024</v>
      </c>
      <c r="B24" s="1" t="n">
        <v>9</v>
      </c>
      <c r="C24" s="1" t="s">
        <v>90</v>
      </c>
      <c r="E24" s="1" t="n">
        <v>36427</v>
      </c>
    </row>
    <row r="25" customFormat="false" ht="12" hidden="false" customHeight="false" outlineLevel="0" collapsed="false">
      <c r="A25" s="1" t="n">
        <v>2024</v>
      </c>
      <c r="B25" s="1" t="n">
        <v>10</v>
      </c>
      <c r="C25" s="1" t="s">
        <v>15</v>
      </c>
      <c r="E25" s="1" t="n">
        <v>61947</v>
      </c>
    </row>
    <row r="26" customFormat="false" ht="12" hidden="false" customHeight="false" outlineLevel="0" collapsed="false">
      <c r="A26" s="1" t="n">
        <v>2024</v>
      </c>
      <c r="B26" s="1" t="n">
        <v>10</v>
      </c>
      <c r="C26" s="1" t="s">
        <v>90</v>
      </c>
      <c r="E26" s="1" t="n">
        <v>36382</v>
      </c>
    </row>
    <row r="27" customFormat="false" ht="12" hidden="false" customHeight="false" outlineLevel="0" collapsed="false">
      <c r="A27" s="1" t="n">
        <v>2024</v>
      </c>
      <c r="B27" s="1" t="n">
        <v>11</v>
      </c>
      <c r="C27" s="1" t="s">
        <v>15</v>
      </c>
      <c r="E27" s="1" t="n">
        <v>61968</v>
      </c>
    </row>
    <row r="28" customFormat="false" ht="12" hidden="false" customHeight="false" outlineLevel="0" collapsed="false">
      <c r="A28" s="1" t="n">
        <v>2024</v>
      </c>
      <c r="B28" s="1" t="n">
        <v>11</v>
      </c>
      <c r="C28" s="1" t="s">
        <v>90</v>
      </c>
      <c r="E28" s="1" t="n">
        <v>36394</v>
      </c>
    </row>
    <row r="29" customFormat="false" ht="12" hidden="false" customHeight="false" outlineLevel="0" collapsed="false">
      <c r="A29" s="1" t="n">
        <v>2024</v>
      </c>
      <c r="B29" s="1" t="n">
        <v>12</v>
      </c>
      <c r="C29" s="1" t="s">
        <v>15</v>
      </c>
      <c r="E29" s="1" t="n">
        <v>61754</v>
      </c>
    </row>
    <row r="30" customFormat="false" ht="12" hidden="false" customHeight="false" outlineLevel="0" collapsed="false">
      <c r="A30" s="1" t="n">
        <v>2024</v>
      </c>
      <c r="B30" s="1" t="n">
        <v>12</v>
      </c>
      <c r="C30" s="1" t="s">
        <v>90</v>
      </c>
      <c r="E30" s="1" t="n">
        <v>36268</v>
      </c>
    </row>
    <row r="31" customFormat="false" ht="12" hidden="false" customHeight="false" outlineLevel="0" collapsed="false">
      <c r="A31" s="1" t="n">
        <v>2025</v>
      </c>
      <c r="B31" s="1" t="n">
        <v>1</v>
      </c>
      <c r="C31" s="1" t="s">
        <v>15</v>
      </c>
      <c r="E31" s="1" t="n">
        <v>62695</v>
      </c>
    </row>
    <row r="32" customFormat="false" ht="12" hidden="false" customHeight="false" outlineLevel="0" collapsed="false">
      <c r="A32" s="1" t="n">
        <v>2025</v>
      </c>
      <c r="B32" s="1" t="n">
        <v>1</v>
      </c>
      <c r="C32" s="1" t="s">
        <v>90</v>
      </c>
      <c r="E32" s="1" t="n">
        <v>36821</v>
      </c>
    </row>
    <row r="33" customFormat="false" ht="12" hidden="false" customHeight="false" outlineLevel="0" collapsed="false">
      <c r="A33" s="1" t="n">
        <v>2025</v>
      </c>
      <c r="B33" s="1" t="n">
        <v>2</v>
      </c>
      <c r="C33" s="1" t="s">
        <v>15</v>
      </c>
      <c r="E33" s="1" t="n">
        <v>62606</v>
      </c>
    </row>
    <row r="34" customFormat="false" ht="12" hidden="false" customHeight="false" outlineLevel="0" collapsed="false">
      <c r="A34" s="1" t="n">
        <v>2025</v>
      </c>
      <c r="B34" s="1" t="n">
        <v>2</v>
      </c>
      <c r="C34" s="1" t="s">
        <v>90</v>
      </c>
      <c r="E34" s="1" t="n">
        <v>36769</v>
      </c>
    </row>
    <row r="35" customFormat="false" ht="12" hidden="false" customHeight="false" outlineLevel="0" collapsed="false">
      <c r="A35" s="1" t="n">
        <v>2025</v>
      </c>
      <c r="B35" s="1" t="n">
        <v>3</v>
      </c>
      <c r="C35" s="1" t="s">
        <v>15</v>
      </c>
      <c r="E35" s="1" t="n">
        <v>63014</v>
      </c>
    </row>
    <row r="36" customFormat="false" ht="12" hidden="false" customHeight="false" outlineLevel="0" collapsed="false">
      <c r="A36" s="1" t="n">
        <v>2025</v>
      </c>
      <c r="B36" s="1" t="n">
        <v>3</v>
      </c>
      <c r="C36" s="1" t="s">
        <v>90</v>
      </c>
      <c r="E36" s="1" t="n">
        <v>37008</v>
      </c>
    </row>
    <row r="37" customFormat="false" ht="12" hidden="false" customHeight="false" outlineLevel="0" collapsed="false">
      <c r="A37" s="1" t="n">
        <v>2025</v>
      </c>
      <c r="B37" s="1" t="n">
        <v>4</v>
      </c>
      <c r="C37" s="1" t="s">
        <v>15</v>
      </c>
      <c r="E37" s="1" t="n">
        <v>62742</v>
      </c>
    </row>
    <row r="38" customFormat="false" ht="12" hidden="false" customHeight="false" outlineLevel="0" collapsed="false">
      <c r="A38" s="1" t="n">
        <v>2025</v>
      </c>
      <c r="B38" s="1" t="n">
        <v>4</v>
      </c>
      <c r="C38" s="1" t="s">
        <v>90</v>
      </c>
      <c r="E38" s="1" t="n">
        <v>36848</v>
      </c>
    </row>
    <row r="39" customFormat="false" ht="12" hidden="false" customHeight="false" outlineLevel="0" collapsed="false">
      <c r="A39" s="1" t="n">
        <v>2025</v>
      </c>
      <c r="B39" s="1" t="n">
        <v>5</v>
      </c>
      <c r="C39" s="1" t="s">
        <v>15</v>
      </c>
      <c r="E39" s="1" t="n">
        <v>62810</v>
      </c>
    </row>
    <row r="40" customFormat="false" ht="12" hidden="false" customHeight="false" outlineLevel="0" collapsed="false">
      <c r="A40" s="1" t="n">
        <v>2025</v>
      </c>
      <c r="B40" s="1" t="n">
        <v>5</v>
      </c>
      <c r="C40" s="1" t="s">
        <v>90</v>
      </c>
      <c r="E40" s="1" t="n">
        <v>36888</v>
      </c>
    </row>
    <row r="41" customFormat="false" ht="12" hidden="false" customHeight="false" outlineLevel="0" collapsed="false">
      <c r="A41" s="1" t="n">
        <v>2025</v>
      </c>
      <c r="B41" s="1" t="n">
        <v>6</v>
      </c>
      <c r="C41" s="1" t="s">
        <v>15</v>
      </c>
      <c r="E41" s="1" t="n">
        <v>62982</v>
      </c>
    </row>
    <row r="42" customFormat="false" ht="12" hidden="false" customHeight="false" outlineLevel="0" collapsed="false">
      <c r="A42" s="1" t="n">
        <v>2025</v>
      </c>
      <c r="B42" s="1" t="n">
        <v>6</v>
      </c>
      <c r="C42" s="1" t="s">
        <v>90</v>
      </c>
      <c r="E42" s="1" t="n">
        <v>36989</v>
      </c>
    </row>
    <row r="43" customFormat="false" ht="12" hidden="false" customHeight="false" outlineLevel="0" collapsed="false">
      <c r="A43" s="1" t="n">
        <v>2025</v>
      </c>
      <c r="B43" s="1" t="n">
        <v>7</v>
      </c>
      <c r="C43" s="1" t="s">
        <v>15</v>
      </c>
      <c r="E43" s="1" t="n">
        <v>63030</v>
      </c>
    </row>
    <row r="44" customFormat="false" ht="12" hidden="false" customHeight="false" outlineLevel="0" collapsed="false">
      <c r="A44" s="1" t="n">
        <v>2025</v>
      </c>
      <c r="B44" s="1" t="n">
        <v>7</v>
      </c>
      <c r="C44" s="1" t="s">
        <v>90</v>
      </c>
      <c r="E44" s="1" t="n">
        <v>37018</v>
      </c>
    </row>
    <row r="45" customFormat="false" ht="12" hidden="false" customHeight="false" outlineLevel="0" collapsed="false">
      <c r="A45" s="1" t="n">
        <v>2025</v>
      </c>
      <c r="B45" s="1" t="n">
        <v>8</v>
      </c>
      <c r="C45" s="1" t="s">
        <v>15</v>
      </c>
      <c r="E45" s="1" t="n">
        <v>63406</v>
      </c>
    </row>
    <row r="46" customFormat="false" ht="12" hidden="false" customHeight="false" outlineLevel="0" collapsed="false">
      <c r="A46" s="1" t="n">
        <v>2025</v>
      </c>
      <c r="B46" s="1" t="n">
        <v>8</v>
      </c>
      <c r="C46" s="1" t="s">
        <v>90</v>
      </c>
      <c r="E46" s="1" t="n">
        <v>37238</v>
      </c>
    </row>
    <row r="47" customFormat="false" ht="12" hidden="false" customHeight="false" outlineLevel="0" collapsed="false">
      <c r="A47" s="1" t="n">
        <v>2025</v>
      </c>
      <c r="B47" s="1" t="n">
        <v>9</v>
      </c>
      <c r="C47" s="1" t="s">
        <v>15</v>
      </c>
      <c r="E47" s="1" t="n">
        <v>62970</v>
      </c>
    </row>
    <row r="48" customFormat="false" ht="12" hidden="false" customHeight="false" outlineLevel="0" collapsed="false">
      <c r="A48" s="1" t="n">
        <v>2025</v>
      </c>
      <c r="B48" s="1" t="n">
        <v>9</v>
      </c>
      <c r="C48" s="1" t="s">
        <v>90</v>
      </c>
      <c r="E48" s="1" t="n">
        <v>36983</v>
      </c>
    </row>
    <row r="49" customFormat="false" ht="12" hidden="false" customHeight="false" outlineLevel="0" collapsed="false">
      <c r="A49" s="1" t="n">
        <v>2025</v>
      </c>
      <c r="B49" s="1" t="n">
        <v>10</v>
      </c>
      <c r="C49" s="1" t="s">
        <v>15</v>
      </c>
      <c r="E49" s="1" t="n">
        <v>62931</v>
      </c>
    </row>
    <row r="50" customFormat="false" ht="12" hidden="false" customHeight="false" outlineLevel="0" collapsed="false">
      <c r="A50" s="1" t="n">
        <v>2025</v>
      </c>
      <c r="B50" s="1" t="n">
        <v>10</v>
      </c>
      <c r="C50" s="1" t="s">
        <v>90</v>
      </c>
      <c r="E50" s="1" t="n">
        <v>36960</v>
      </c>
    </row>
    <row r="51" customFormat="false" ht="12" hidden="false" customHeight="false" outlineLevel="0" collapsed="false">
      <c r="A51" s="1" t="n">
        <v>2025</v>
      </c>
      <c r="B51" s="1" t="n">
        <v>11</v>
      </c>
      <c r="C51" s="1" t="s">
        <v>15</v>
      </c>
      <c r="E51" s="1" t="n">
        <v>63238</v>
      </c>
    </row>
    <row r="52" customFormat="false" ht="12" hidden="false" customHeight="false" outlineLevel="0" collapsed="false">
      <c r="A52" s="1" t="n">
        <v>2025</v>
      </c>
      <c r="B52" s="1" t="n">
        <v>11</v>
      </c>
      <c r="C52" s="1" t="s">
        <v>90</v>
      </c>
      <c r="E52" s="1" t="n">
        <v>37139</v>
      </c>
    </row>
    <row r="53" customFormat="false" ht="12" hidden="false" customHeight="false" outlineLevel="0" collapsed="false">
      <c r="A53" s="1" t="n">
        <v>2025</v>
      </c>
      <c r="B53" s="1" t="n">
        <v>12</v>
      </c>
      <c r="C53" s="1" t="s">
        <v>15</v>
      </c>
      <c r="E53" s="1" t="n">
        <v>63149</v>
      </c>
    </row>
    <row r="54" customFormat="false" ht="12" hidden="false" customHeight="false" outlineLevel="0" collapsed="false">
      <c r="A54" s="1" t="n">
        <v>2025</v>
      </c>
      <c r="B54" s="1" t="n">
        <v>12</v>
      </c>
      <c r="C54" s="1" t="s">
        <v>90</v>
      </c>
      <c r="E54" s="1" t="n">
        <v>37088</v>
      </c>
    </row>
    <row r="55" customFormat="false" ht="12" hidden="false" customHeight="false" outlineLevel="0" collapsed="false">
      <c r="A55" s="1" t="n">
        <v>2026</v>
      </c>
      <c r="B55" s="1" t="n">
        <v>1</v>
      </c>
      <c r="C55" s="1" t="s">
        <v>15</v>
      </c>
      <c r="E55" s="1" t="n">
        <v>63612</v>
      </c>
    </row>
    <row r="56" customFormat="false" ht="12" hidden="false" customHeight="false" outlineLevel="0" collapsed="false">
      <c r="A56" s="1" t="n">
        <v>2026</v>
      </c>
      <c r="B56" s="1" t="n">
        <v>1</v>
      </c>
      <c r="C56" s="1" t="s">
        <v>90</v>
      </c>
      <c r="E56" s="1" t="n">
        <v>37359</v>
      </c>
    </row>
    <row r="57" customFormat="false" ht="12" hidden="false" customHeight="false" outlineLevel="0" collapsed="false">
      <c r="A57" s="1" t="n">
        <v>2024</v>
      </c>
      <c r="B57" s="1" t="n">
        <v>1</v>
      </c>
      <c r="C57" s="1" t="s">
        <v>15</v>
      </c>
      <c r="D57" s="1" t="s">
        <v>16</v>
      </c>
      <c r="F57" s="45" t="n">
        <v>20351216.44</v>
      </c>
    </row>
    <row r="58" customFormat="false" ht="12" hidden="false" customHeight="false" outlineLevel="0" collapsed="false">
      <c r="A58" s="1" t="n">
        <v>2024</v>
      </c>
      <c r="B58" s="1" t="n">
        <v>1</v>
      </c>
      <c r="C58" s="1" t="s">
        <v>15</v>
      </c>
      <c r="D58" s="1" t="s">
        <v>53</v>
      </c>
      <c r="F58" s="45" t="n">
        <v>30526824.66</v>
      </c>
    </row>
    <row r="59" customFormat="false" ht="12" hidden="false" customHeight="false" outlineLevel="0" collapsed="false">
      <c r="A59" s="1" t="n">
        <v>2024</v>
      </c>
      <c r="B59" s="1" t="n">
        <v>1</v>
      </c>
      <c r="C59" s="1" t="s">
        <v>90</v>
      </c>
      <c r="D59" s="1" t="s">
        <v>16</v>
      </c>
      <c r="F59" s="45" t="n">
        <v>14557014.39</v>
      </c>
    </row>
    <row r="60" customFormat="false" ht="12" hidden="false" customHeight="false" outlineLevel="0" collapsed="false">
      <c r="A60" s="1" t="n">
        <v>2024</v>
      </c>
      <c r="B60" s="1" t="n">
        <v>1</v>
      </c>
      <c r="C60" s="1" t="s">
        <v>90</v>
      </c>
      <c r="D60" s="1" t="s">
        <v>53</v>
      </c>
      <c r="F60" s="45" t="n">
        <v>21835521.59</v>
      </c>
    </row>
    <row r="61" customFormat="false" ht="12" hidden="false" customHeight="false" outlineLevel="0" collapsed="false">
      <c r="A61" s="1" t="n">
        <v>2024</v>
      </c>
      <c r="B61" s="1" t="n">
        <v>2</v>
      </c>
      <c r="C61" s="1" t="s">
        <v>15</v>
      </c>
      <c r="D61" s="1" t="s">
        <v>16</v>
      </c>
      <c r="F61" s="45" t="n">
        <v>20212088.08</v>
      </c>
    </row>
    <row r="62" customFormat="false" ht="12" hidden="false" customHeight="false" outlineLevel="0" collapsed="false">
      <c r="A62" s="1" t="n">
        <v>2024</v>
      </c>
      <c r="B62" s="1" t="n">
        <v>2</v>
      </c>
      <c r="C62" s="1" t="s">
        <v>15</v>
      </c>
      <c r="D62" s="1" t="s">
        <v>53</v>
      </c>
      <c r="F62" s="45" t="n">
        <v>30318132.12</v>
      </c>
    </row>
    <row r="63" customFormat="false" ht="12" hidden="false" customHeight="false" outlineLevel="0" collapsed="false">
      <c r="A63" s="1" t="n">
        <v>2024</v>
      </c>
      <c r="B63" s="1" t="n">
        <v>2</v>
      </c>
      <c r="C63" s="1" t="s">
        <v>90</v>
      </c>
      <c r="D63" s="1" t="s">
        <v>16</v>
      </c>
      <c r="F63" s="45" t="n">
        <v>14458063.19</v>
      </c>
    </row>
    <row r="64" customFormat="false" ht="12" hidden="false" customHeight="false" outlineLevel="0" collapsed="false">
      <c r="A64" s="1" t="n">
        <v>2024</v>
      </c>
      <c r="B64" s="1" t="n">
        <v>2</v>
      </c>
      <c r="C64" s="1" t="s">
        <v>90</v>
      </c>
      <c r="D64" s="1" t="s">
        <v>53</v>
      </c>
      <c r="F64" s="45" t="n">
        <v>21687094.79</v>
      </c>
    </row>
    <row r="65" customFormat="false" ht="12" hidden="false" customHeight="false" outlineLevel="0" collapsed="false">
      <c r="A65" s="1" t="n">
        <v>2024</v>
      </c>
      <c r="B65" s="1" t="n">
        <v>3</v>
      </c>
      <c r="C65" s="1" t="s">
        <v>15</v>
      </c>
      <c r="D65" s="1" t="s">
        <v>16</v>
      </c>
      <c r="F65" s="45" t="n">
        <v>20133312.7</v>
      </c>
    </row>
    <row r="66" customFormat="false" ht="12" hidden="false" customHeight="false" outlineLevel="0" collapsed="false">
      <c r="A66" s="1" t="n">
        <v>2024</v>
      </c>
      <c r="B66" s="1" t="n">
        <v>3</v>
      </c>
      <c r="C66" s="1" t="s">
        <v>15</v>
      </c>
      <c r="D66" s="1" t="s">
        <v>53</v>
      </c>
      <c r="F66" s="45" t="n">
        <v>30199969.05</v>
      </c>
    </row>
    <row r="67" customFormat="false" ht="12" hidden="false" customHeight="false" outlineLevel="0" collapsed="false">
      <c r="A67" s="1" t="n">
        <v>2024</v>
      </c>
      <c r="B67" s="1" t="n">
        <v>3</v>
      </c>
      <c r="C67" s="1" t="s">
        <v>90</v>
      </c>
      <c r="D67" s="1" t="s">
        <v>16</v>
      </c>
      <c r="F67" s="45" t="n">
        <v>14401327.86</v>
      </c>
    </row>
    <row r="68" customFormat="false" ht="12" hidden="false" customHeight="false" outlineLevel="0" collapsed="false">
      <c r="A68" s="1" t="n">
        <v>2024</v>
      </c>
      <c r="B68" s="1" t="n">
        <v>3</v>
      </c>
      <c r="C68" s="1" t="s">
        <v>90</v>
      </c>
      <c r="D68" s="1" t="s">
        <v>53</v>
      </c>
      <c r="F68" s="45" t="n">
        <v>21601991.79</v>
      </c>
    </row>
    <row r="69" customFormat="false" ht="12" hidden="false" customHeight="false" outlineLevel="0" collapsed="false">
      <c r="A69" s="1" t="n">
        <v>2024</v>
      </c>
      <c r="B69" s="1" t="n">
        <v>4</v>
      </c>
      <c r="C69" s="1" t="s">
        <v>15</v>
      </c>
      <c r="D69" s="1" t="s">
        <v>16</v>
      </c>
      <c r="F69" s="45" t="n">
        <v>19195392.53</v>
      </c>
    </row>
    <row r="70" customFormat="false" ht="12" hidden="false" customHeight="false" outlineLevel="0" collapsed="false">
      <c r="A70" s="1" t="n">
        <v>2024</v>
      </c>
      <c r="B70" s="1" t="n">
        <v>4</v>
      </c>
      <c r="C70" s="1" t="s">
        <v>15</v>
      </c>
      <c r="D70" s="1" t="s">
        <v>53</v>
      </c>
      <c r="F70" s="45" t="n">
        <v>28793088.8</v>
      </c>
    </row>
    <row r="71" customFormat="false" ht="12" hidden="false" customHeight="false" outlineLevel="0" collapsed="false">
      <c r="A71" s="1" t="n">
        <v>2024</v>
      </c>
      <c r="B71" s="1" t="n">
        <v>4</v>
      </c>
      <c r="C71" s="1" t="s">
        <v>90</v>
      </c>
      <c r="D71" s="1" t="s">
        <v>16</v>
      </c>
      <c r="F71" s="45" t="n">
        <v>13730405</v>
      </c>
    </row>
    <row r="72" customFormat="false" ht="12" hidden="false" customHeight="false" outlineLevel="0" collapsed="false">
      <c r="A72" s="1" t="n">
        <v>2024</v>
      </c>
      <c r="B72" s="1" t="n">
        <v>4</v>
      </c>
      <c r="C72" s="1" t="s">
        <v>90</v>
      </c>
      <c r="D72" s="1" t="s">
        <v>53</v>
      </c>
      <c r="F72" s="45" t="n">
        <v>20595607.49</v>
      </c>
    </row>
    <row r="73" customFormat="false" ht="12" hidden="false" customHeight="false" outlineLevel="0" collapsed="false">
      <c r="A73" s="1" t="n">
        <v>2024</v>
      </c>
      <c r="B73" s="1" t="n">
        <v>5</v>
      </c>
      <c r="C73" s="1" t="s">
        <v>15</v>
      </c>
      <c r="D73" s="1" t="s">
        <v>16</v>
      </c>
      <c r="F73" s="45" t="n">
        <v>19218796.01</v>
      </c>
    </row>
    <row r="74" customFormat="false" ht="12" hidden="false" customHeight="false" outlineLevel="0" collapsed="false">
      <c r="A74" s="1" t="n">
        <v>2024</v>
      </c>
      <c r="B74" s="1" t="n">
        <v>5</v>
      </c>
      <c r="C74" s="1" t="s">
        <v>15</v>
      </c>
      <c r="D74" s="1" t="s">
        <v>53</v>
      </c>
      <c r="F74" s="45" t="n">
        <v>28828194.01</v>
      </c>
    </row>
    <row r="75" customFormat="false" ht="12" hidden="false" customHeight="false" outlineLevel="0" collapsed="false">
      <c r="A75" s="1" t="n">
        <v>2024</v>
      </c>
      <c r="B75" s="1" t="n">
        <v>5</v>
      </c>
      <c r="C75" s="1" t="s">
        <v>90</v>
      </c>
      <c r="D75" s="1" t="s">
        <v>16</v>
      </c>
      <c r="F75" s="45" t="n">
        <v>13747495.9</v>
      </c>
    </row>
    <row r="76" customFormat="false" ht="12" hidden="false" customHeight="false" outlineLevel="0" collapsed="false">
      <c r="A76" s="1" t="n">
        <v>2024</v>
      </c>
      <c r="B76" s="1" t="n">
        <v>5</v>
      </c>
      <c r="C76" s="1" t="s">
        <v>90</v>
      </c>
      <c r="D76" s="1" t="s">
        <v>53</v>
      </c>
      <c r="F76" s="45" t="n">
        <v>20621243.85</v>
      </c>
    </row>
    <row r="77" customFormat="false" ht="12" hidden="false" customHeight="false" outlineLevel="0" collapsed="false">
      <c r="A77" s="1" t="n">
        <v>2024</v>
      </c>
      <c r="B77" s="1" t="n">
        <v>6</v>
      </c>
      <c r="C77" s="1" t="s">
        <v>15</v>
      </c>
      <c r="D77" s="1" t="s">
        <v>16</v>
      </c>
      <c r="F77" s="45" t="n">
        <v>18616341.9</v>
      </c>
    </row>
    <row r="78" customFormat="false" ht="12" hidden="false" customHeight="false" outlineLevel="0" collapsed="false">
      <c r="A78" s="1" t="n">
        <v>2024</v>
      </c>
      <c r="B78" s="1" t="n">
        <v>6</v>
      </c>
      <c r="C78" s="1" t="s">
        <v>15</v>
      </c>
      <c r="D78" s="1" t="s">
        <v>53</v>
      </c>
      <c r="F78" s="45" t="n">
        <v>27924512.84</v>
      </c>
    </row>
    <row r="79" customFormat="false" ht="12" hidden="false" customHeight="false" outlineLevel="0" collapsed="false">
      <c r="A79" s="1" t="n">
        <v>2024</v>
      </c>
      <c r="B79" s="1" t="n">
        <v>6</v>
      </c>
      <c r="C79" s="1" t="s">
        <v>90</v>
      </c>
      <c r="D79" s="1" t="s">
        <v>16</v>
      </c>
      <c r="F79" s="45" t="n">
        <v>13316305.87</v>
      </c>
    </row>
    <row r="80" customFormat="false" ht="12" hidden="false" customHeight="false" outlineLevel="0" collapsed="false">
      <c r="A80" s="1" t="n">
        <v>2024</v>
      </c>
      <c r="B80" s="1" t="n">
        <v>6</v>
      </c>
      <c r="C80" s="1" t="s">
        <v>90</v>
      </c>
      <c r="D80" s="1" t="s">
        <v>53</v>
      </c>
      <c r="F80" s="45" t="n">
        <v>19974458.81</v>
      </c>
    </row>
    <row r="81" customFormat="false" ht="12" hidden="false" customHeight="false" outlineLevel="0" collapsed="false">
      <c r="A81" s="1" t="n">
        <v>2024</v>
      </c>
      <c r="B81" s="1" t="n">
        <v>7</v>
      </c>
      <c r="C81" s="1" t="s">
        <v>15</v>
      </c>
      <c r="D81" s="1" t="s">
        <v>16</v>
      </c>
      <c r="F81" s="45" t="n">
        <v>18355519.35</v>
      </c>
    </row>
    <row r="82" customFormat="false" ht="12" hidden="false" customHeight="false" outlineLevel="0" collapsed="false">
      <c r="A82" s="1" t="n">
        <v>2024</v>
      </c>
      <c r="B82" s="1" t="n">
        <v>7</v>
      </c>
      <c r="C82" s="1" t="s">
        <v>15</v>
      </c>
      <c r="D82" s="1" t="s">
        <v>53</v>
      </c>
      <c r="F82" s="45" t="n">
        <v>27533279.03</v>
      </c>
    </row>
    <row r="83" customFormat="false" ht="12" hidden="false" customHeight="false" outlineLevel="0" collapsed="false">
      <c r="A83" s="1" t="n">
        <v>2024</v>
      </c>
      <c r="B83" s="1" t="n">
        <v>7</v>
      </c>
      <c r="C83" s="1" t="s">
        <v>90</v>
      </c>
      <c r="D83" s="1" t="s">
        <v>16</v>
      </c>
      <c r="F83" s="45" t="n">
        <v>13129939.76</v>
      </c>
    </row>
    <row r="84" customFormat="false" ht="12" hidden="false" customHeight="false" outlineLevel="0" collapsed="false">
      <c r="A84" s="1" t="n">
        <v>2024</v>
      </c>
      <c r="B84" s="1" t="n">
        <v>7</v>
      </c>
      <c r="C84" s="1" t="s">
        <v>90</v>
      </c>
      <c r="D84" s="1" t="s">
        <v>53</v>
      </c>
      <c r="F84" s="45" t="n">
        <v>19694909.64</v>
      </c>
    </row>
    <row r="85" customFormat="false" ht="12" hidden="false" customHeight="false" outlineLevel="0" collapsed="false">
      <c r="A85" s="1" t="n">
        <v>2024</v>
      </c>
      <c r="B85" s="1" t="n">
        <v>8</v>
      </c>
      <c r="C85" s="1" t="s">
        <v>15</v>
      </c>
      <c r="D85" s="1" t="s">
        <v>16</v>
      </c>
      <c r="F85" s="45" t="n">
        <v>18184415.15</v>
      </c>
    </row>
    <row r="86" customFormat="false" ht="12" hidden="false" customHeight="false" outlineLevel="0" collapsed="false">
      <c r="A86" s="1" t="n">
        <v>2024</v>
      </c>
      <c r="B86" s="1" t="n">
        <v>8</v>
      </c>
      <c r="C86" s="1" t="s">
        <v>15</v>
      </c>
      <c r="D86" s="1" t="s">
        <v>53</v>
      </c>
      <c r="F86" s="45" t="n">
        <v>27276622.73</v>
      </c>
    </row>
    <row r="87" customFormat="false" ht="12" hidden="false" customHeight="false" outlineLevel="0" collapsed="false">
      <c r="A87" s="1" t="n">
        <v>2024</v>
      </c>
      <c r="B87" s="1" t="n">
        <v>8</v>
      </c>
      <c r="C87" s="1" t="s">
        <v>90</v>
      </c>
      <c r="D87" s="1" t="s">
        <v>16</v>
      </c>
      <c r="F87" s="45" t="n">
        <v>13007637.52</v>
      </c>
    </row>
    <row r="88" customFormat="false" ht="12" hidden="false" customHeight="false" outlineLevel="0" collapsed="false">
      <c r="A88" s="1" t="n">
        <v>2024</v>
      </c>
      <c r="B88" s="1" t="n">
        <v>8</v>
      </c>
      <c r="C88" s="1" t="s">
        <v>90</v>
      </c>
      <c r="D88" s="1" t="s">
        <v>53</v>
      </c>
      <c r="F88" s="45" t="n">
        <v>19511456.28</v>
      </c>
    </row>
    <row r="89" customFormat="false" ht="12" hidden="false" customHeight="false" outlineLevel="0" collapsed="false">
      <c r="A89" s="1" t="n">
        <v>2024</v>
      </c>
      <c r="B89" s="1" t="n">
        <v>9</v>
      </c>
      <c r="C89" s="1" t="s">
        <v>15</v>
      </c>
      <c r="D89" s="1" t="s">
        <v>16</v>
      </c>
      <c r="F89" s="45" t="n">
        <v>19367729.43</v>
      </c>
    </row>
    <row r="90" customFormat="false" ht="12" hidden="false" customHeight="false" outlineLevel="0" collapsed="false">
      <c r="A90" s="1" t="n">
        <v>2024</v>
      </c>
      <c r="B90" s="1" t="n">
        <v>9</v>
      </c>
      <c r="C90" s="1" t="s">
        <v>15</v>
      </c>
      <c r="D90" s="1" t="s">
        <v>53</v>
      </c>
      <c r="F90" s="45" t="n">
        <v>29051594.14</v>
      </c>
    </row>
    <row r="91" customFormat="false" ht="12" hidden="false" customHeight="false" outlineLevel="0" collapsed="false">
      <c r="A91" s="1" t="n">
        <v>2024</v>
      </c>
      <c r="B91" s="1" t="n">
        <v>9</v>
      </c>
      <c r="C91" s="1" t="s">
        <v>90</v>
      </c>
      <c r="D91" s="1" t="s">
        <v>16</v>
      </c>
      <c r="F91" s="45" t="n">
        <v>13853877.61</v>
      </c>
    </row>
    <row r="92" customFormat="false" ht="12" hidden="false" customHeight="false" outlineLevel="0" collapsed="false">
      <c r="A92" s="1" t="n">
        <v>2024</v>
      </c>
      <c r="B92" s="1" t="n">
        <v>9</v>
      </c>
      <c r="C92" s="1" t="s">
        <v>90</v>
      </c>
      <c r="D92" s="1" t="s">
        <v>53</v>
      </c>
      <c r="F92" s="45" t="n">
        <v>20780816.42</v>
      </c>
    </row>
    <row r="93" customFormat="false" ht="12" hidden="false" customHeight="false" outlineLevel="0" collapsed="false">
      <c r="A93" s="1" t="n">
        <v>2024</v>
      </c>
      <c r="B93" s="1" t="n">
        <v>10</v>
      </c>
      <c r="C93" s="1" t="s">
        <v>15</v>
      </c>
      <c r="D93" s="1" t="s">
        <v>16</v>
      </c>
      <c r="F93" s="45" t="n">
        <v>19743787.57</v>
      </c>
    </row>
    <row r="94" customFormat="false" ht="12" hidden="false" customHeight="false" outlineLevel="0" collapsed="false">
      <c r="A94" s="1" t="n">
        <v>2024</v>
      </c>
      <c r="B94" s="1" t="n">
        <v>10</v>
      </c>
      <c r="C94" s="1" t="s">
        <v>15</v>
      </c>
      <c r="D94" s="1" t="s">
        <v>53</v>
      </c>
      <c r="F94" s="45" t="n">
        <v>29615681.36</v>
      </c>
    </row>
    <row r="95" customFormat="false" ht="12" hidden="false" customHeight="false" outlineLevel="0" collapsed="false">
      <c r="A95" s="1" t="n">
        <v>2024</v>
      </c>
      <c r="B95" s="1" t="n">
        <v>10</v>
      </c>
      <c r="C95" s="1" t="s">
        <v>90</v>
      </c>
      <c r="D95" s="1" t="s">
        <v>16</v>
      </c>
      <c r="F95" s="45" t="n">
        <v>14122961.1</v>
      </c>
    </row>
    <row r="96" customFormat="false" ht="12" hidden="false" customHeight="false" outlineLevel="0" collapsed="false">
      <c r="A96" s="1" t="n">
        <v>2024</v>
      </c>
      <c r="B96" s="1" t="n">
        <v>10</v>
      </c>
      <c r="C96" s="1" t="s">
        <v>90</v>
      </c>
      <c r="D96" s="1" t="s">
        <v>53</v>
      </c>
      <c r="F96" s="45" t="n">
        <v>21184441.65</v>
      </c>
    </row>
    <row r="97" customFormat="false" ht="12" hidden="false" customHeight="false" outlineLevel="0" collapsed="false">
      <c r="A97" s="1" t="n">
        <v>2024</v>
      </c>
      <c r="B97" s="1" t="n">
        <v>11</v>
      </c>
      <c r="C97" s="1" t="s">
        <v>15</v>
      </c>
      <c r="D97" s="1" t="s">
        <v>16</v>
      </c>
      <c r="F97" s="45" t="n">
        <v>21572805.55</v>
      </c>
    </row>
    <row r="98" customFormat="false" ht="12" hidden="false" customHeight="false" outlineLevel="0" collapsed="false">
      <c r="A98" s="1" t="n">
        <v>2024</v>
      </c>
      <c r="B98" s="1" t="n">
        <v>11</v>
      </c>
      <c r="C98" s="1" t="s">
        <v>15</v>
      </c>
      <c r="D98" s="1" t="s">
        <v>53</v>
      </c>
      <c r="F98" s="45" t="n">
        <v>32359208.32</v>
      </c>
    </row>
    <row r="99" customFormat="false" ht="12" hidden="false" customHeight="false" outlineLevel="0" collapsed="false">
      <c r="A99" s="1" t="n">
        <v>2024</v>
      </c>
      <c r="B99" s="1" t="n">
        <v>11</v>
      </c>
      <c r="C99" s="1" t="s">
        <v>90</v>
      </c>
      <c r="D99" s="1" t="s">
        <v>16</v>
      </c>
      <c r="F99" s="45" t="n">
        <v>15431137.55</v>
      </c>
    </row>
    <row r="100" customFormat="false" ht="12" hidden="false" customHeight="false" outlineLevel="0" collapsed="false">
      <c r="A100" s="1" t="n">
        <v>2024</v>
      </c>
      <c r="B100" s="1" t="n">
        <v>11</v>
      </c>
      <c r="C100" s="1" t="s">
        <v>90</v>
      </c>
      <c r="D100" s="1" t="s">
        <v>53</v>
      </c>
      <c r="F100" s="45" t="n">
        <v>23146706.33</v>
      </c>
    </row>
    <row r="101" customFormat="false" ht="12" hidden="false" customHeight="false" outlineLevel="0" collapsed="false">
      <c r="A101" s="1" t="n">
        <v>2024</v>
      </c>
      <c r="B101" s="1" t="n">
        <v>12</v>
      </c>
      <c r="C101" s="1" t="s">
        <v>15</v>
      </c>
      <c r="D101" s="1" t="s">
        <v>16</v>
      </c>
      <c r="F101" s="45" t="n">
        <v>21951078.76</v>
      </c>
    </row>
    <row r="102" customFormat="false" ht="12" hidden="false" customHeight="false" outlineLevel="0" collapsed="false">
      <c r="A102" s="1" t="n">
        <v>2024</v>
      </c>
      <c r="B102" s="1" t="n">
        <v>12</v>
      </c>
      <c r="C102" s="1" t="s">
        <v>15</v>
      </c>
      <c r="D102" s="1" t="s">
        <v>53</v>
      </c>
      <c r="F102" s="45" t="n">
        <v>32926618.14</v>
      </c>
    </row>
    <row r="103" customFormat="false" ht="12" hidden="false" customHeight="false" outlineLevel="0" collapsed="false">
      <c r="A103" s="1" t="n">
        <v>2024</v>
      </c>
      <c r="B103" s="1" t="n">
        <v>12</v>
      </c>
      <c r="C103" s="1" t="s">
        <v>90</v>
      </c>
      <c r="D103" s="1" t="s">
        <v>16</v>
      </c>
      <c r="F103" s="45" t="n">
        <v>15701581.01</v>
      </c>
    </row>
    <row r="104" customFormat="false" ht="12" hidden="false" customHeight="false" outlineLevel="0" collapsed="false">
      <c r="A104" s="1" t="n">
        <v>2024</v>
      </c>
      <c r="B104" s="1" t="n">
        <v>12</v>
      </c>
      <c r="C104" s="1" t="s">
        <v>90</v>
      </c>
      <c r="D104" s="1" t="s">
        <v>53</v>
      </c>
      <c r="F104" s="45" t="n">
        <v>23552371.52</v>
      </c>
    </row>
    <row r="105" customFormat="false" ht="12" hidden="false" customHeight="false" outlineLevel="0" collapsed="false">
      <c r="A105" s="1" t="n">
        <v>2025</v>
      </c>
      <c r="B105" s="1" t="n">
        <v>1</v>
      </c>
      <c r="C105" s="1" t="s">
        <v>15</v>
      </c>
      <c r="D105" s="1" t="s">
        <v>16</v>
      </c>
      <c r="F105" s="45" t="n">
        <v>21766028.11</v>
      </c>
    </row>
    <row r="106" customFormat="false" ht="12" hidden="false" customHeight="false" outlineLevel="0" collapsed="false">
      <c r="A106" s="1" t="n">
        <v>2025</v>
      </c>
      <c r="B106" s="1" t="n">
        <v>1</v>
      </c>
      <c r="C106" s="1" t="s">
        <v>15</v>
      </c>
      <c r="D106" s="1" t="s">
        <v>53</v>
      </c>
      <c r="F106" s="45" t="n">
        <v>32649042.17</v>
      </c>
    </row>
    <row r="107" customFormat="false" ht="12" hidden="false" customHeight="false" outlineLevel="0" collapsed="false">
      <c r="A107" s="1" t="n">
        <v>2025</v>
      </c>
      <c r="B107" s="1" t="n">
        <v>1</v>
      </c>
      <c r="C107" s="1" t="s">
        <v>90</v>
      </c>
      <c r="D107" s="1" t="s">
        <v>16</v>
      </c>
      <c r="F107" s="45" t="n">
        <v>15569363.59</v>
      </c>
    </row>
    <row r="108" customFormat="false" ht="12" hidden="false" customHeight="false" outlineLevel="0" collapsed="false">
      <c r="A108" s="1" t="n">
        <v>2025</v>
      </c>
      <c r="B108" s="1" t="n">
        <v>1</v>
      </c>
      <c r="C108" s="1" t="s">
        <v>90</v>
      </c>
      <c r="D108" s="1" t="s">
        <v>53</v>
      </c>
      <c r="F108" s="45" t="n">
        <v>23354045.38</v>
      </c>
    </row>
    <row r="109" customFormat="false" ht="12" hidden="false" customHeight="false" outlineLevel="0" collapsed="false">
      <c r="A109" s="1" t="n">
        <v>2025</v>
      </c>
      <c r="B109" s="1" t="n">
        <v>2</v>
      </c>
      <c r="C109" s="1" t="s">
        <v>15</v>
      </c>
      <c r="D109" s="1" t="s">
        <v>16</v>
      </c>
      <c r="F109" s="45" t="n">
        <v>21905179.49</v>
      </c>
    </row>
    <row r="110" customFormat="false" ht="12" hidden="false" customHeight="false" outlineLevel="0" collapsed="false">
      <c r="A110" s="1" t="n">
        <v>2025</v>
      </c>
      <c r="B110" s="1" t="n">
        <v>2</v>
      </c>
      <c r="C110" s="1" t="s">
        <v>15</v>
      </c>
      <c r="D110" s="1" t="s">
        <v>53</v>
      </c>
      <c r="F110" s="45" t="n">
        <v>32857769.24</v>
      </c>
    </row>
    <row r="111" customFormat="false" ht="12" hidden="false" customHeight="false" outlineLevel="0" collapsed="false">
      <c r="A111" s="1" t="n">
        <v>2025</v>
      </c>
      <c r="B111" s="1" t="n">
        <v>2</v>
      </c>
      <c r="C111" s="1" t="s">
        <v>90</v>
      </c>
      <c r="D111" s="1" t="s">
        <v>16</v>
      </c>
      <c r="F111" s="45" t="n">
        <v>15669014.43</v>
      </c>
    </row>
    <row r="112" customFormat="false" ht="12" hidden="false" customHeight="false" outlineLevel="0" collapsed="false">
      <c r="A112" s="1" t="n">
        <v>2025</v>
      </c>
      <c r="B112" s="1" t="n">
        <v>2</v>
      </c>
      <c r="C112" s="1" t="s">
        <v>90</v>
      </c>
      <c r="D112" s="1" t="s">
        <v>53</v>
      </c>
      <c r="F112" s="45" t="n">
        <v>23503521.64</v>
      </c>
    </row>
    <row r="113" customFormat="false" ht="12" hidden="false" customHeight="false" outlineLevel="0" collapsed="false">
      <c r="A113" s="1" t="n">
        <v>2025</v>
      </c>
      <c r="B113" s="1" t="n">
        <v>3</v>
      </c>
      <c r="C113" s="1" t="s">
        <v>15</v>
      </c>
      <c r="D113" s="1" t="s">
        <v>16</v>
      </c>
      <c r="F113" s="45" t="n">
        <v>20967121.96</v>
      </c>
    </row>
    <row r="114" customFormat="false" ht="12" hidden="false" customHeight="false" outlineLevel="0" collapsed="false">
      <c r="A114" s="1" t="n">
        <v>2025</v>
      </c>
      <c r="B114" s="1" t="n">
        <v>3</v>
      </c>
      <c r="C114" s="1" t="s">
        <v>15</v>
      </c>
      <c r="D114" s="1" t="s">
        <v>53</v>
      </c>
      <c r="F114" s="45" t="n">
        <v>31450682.94</v>
      </c>
    </row>
    <row r="115" customFormat="false" ht="12" hidden="false" customHeight="false" outlineLevel="0" collapsed="false">
      <c r="A115" s="1" t="n">
        <v>2025</v>
      </c>
      <c r="B115" s="1" t="n">
        <v>3</v>
      </c>
      <c r="C115" s="1" t="s">
        <v>90</v>
      </c>
      <c r="D115" s="1" t="s">
        <v>16</v>
      </c>
      <c r="F115" s="45" t="n">
        <v>14997759.7</v>
      </c>
    </row>
    <row r="116" customFormat="false" ht="12" hidden="false" customHeight="false" outlineLevel="0" collapsed="false">
      <c r="A116" s="1" t="n">
        <v>2025</v>
      </c>
      <c r="B116" s="1" t="n">
        <v>3</v>
      </c>
      <c r="C116" s="1" t="s">
        <v>90</v>
      </c>
      <c r="D116" s="1" t="s">
        <v>53</v>
      </c>
      <c r="F116" s="45" t="n">
        <v>22496639.55</v>
      </c>
    </row>
    <row r="117" customFormat="false" ht="12" hidden="false" customHeight="false" outlineLevel="0" collapsed="false">
      <c r="A117" s="1" t="n">
        <v>2025</v>
      </c>
      <c r="B117" s="1" t="n">
        <v>4</v>
      </c>
      <c r="C117" s="1" t="s">
        <v>15</v>
      </c>
      <c r="D117" s="1" t="s">
        <v>16</v>
      </c>
      <c r="F117" s="45" t="n">
        <v>20485463.7100013</v>
      </c>
    </row>
    <row r="118" customFormat="false" ht="12" hidden="false" customHeight="false" outlineLevel="0" collapsed="false">
      <c r="A118" s="1" t="n">
        <v>2025</v>
      </c>
      <c r="B118" s="1" t="n">
        <v>4</v>
      </c>
      <c r="C118" s="1" t="s">
        <v>15</v>
      </c>
      <c r="D118" s="1" t="s">
        <v>53</v>
      </c>
      <c r="F118" s="45" t="n">
        <v>31612645.2064803</v>
      </c>
    </row>
    <row r="119" customFormat="false" ht="12" hidden="false" customHeight="false" outlineLevel="0" collapsed="false">
      <c r="A119" s="1" t="n">
        <v>2025</v>
      </c>
      <c r="B119" s="1" t="n">
        <v>4</v>
      </c>
      <c r="C119" s="1" t="s">
        <v>90</v>
      </c>
      <c r="D119" s="1" t="s">
        <v>16</v>
      </c>
      <c r="F119" s="45" t="n">
        <v>15088174.4534972</v>
      </c>
    </row>
    <row r="120" customFormat="false" ht="12" hidden="false" customHeight="false" outlineLevel="0" collapsed="false">
      <c r="A120" s="1" t="n">
        <v>2025</v>
      </c>
      <c r="B120" s="1" t="n">
        <v>4</v>
      </c>
      <c r="C120" s="1" t="s">
        <v>90</v>
      </c>
      <c r="D120" s="1" t="s">
        <v>53</v>
      </c>
      <c r="F120" s="45" t="n">
        <v>22631367.3907378</v>
      </c>
    </row>
    <row r="121" customFormat="false" ht="12" hidden="false" customHeight="false" outlineLevel="0" collapsed="false">
      <c r="A121" s="1" t="n">
        <v>2025</v>
      </c>
      <c r="B121" s="1" t="n">
        <v>5</v>
      </c>
      <c r="C121" s="1" t="s">
        <v>15</v>
      </c>
      <c r="D121" s="1" t="s">
        <v>16</v>
      </c>
      <c r="F121" s="45" t="n">
        <v>19842903.1161439</v>
      </c>
    </row>
    <row r="122" customFormat="false" ht="12" hidden="false" customHeight="false" outlineLevel="0" collapsed="false">
      <c r="A122" s="1" t="n">
        <v>2025</v>
      </c>
      <c r="B122" s="1" t="n">
        <v>5</v>
      </c>
      <c r="C122" s="1" t="s">
        <v>15</v>
      </c>
      <c r="D122" s="1" t="s">
        <v>53</v>
      </c>
      <c r="F122" s="45" t="n">
        <v>29854722.7047624</v>
      </c>
    </row>
    <row r="123" customFormat="false" ht="12" hidden="false" customHeight="false" outlineLevel="0" collapsed="false">
      <c r="A123" s="1" t="n">
        <v>2025</v>
      </c>
      <c r="B123" s="1" t="n">
        <v>5</v>
      </c>
      <c r="C123" s="1" t="s">
        <v>90</v>
      </c>
      <c r="D123" s="1" t="s">
        <v>16</v>
      </c>
      <c r="F123" s="45" t="n">
        <v>13782422.7713762</v>
      </c>
    </row>
    <row r="124" customFormat="false" ht="12" hidden="false" customHeight="false" outlineLevel="0" collapsed="false">
      <c r="A124" s="1" t="n">
        <v>2025</v>
      </c>
      <c r="B124" s="1" t="n">
        <v>5</v>
      </c>
      <c r="C124" s="1" t="s">
        <v>90</v>
      </c>
      <c r="D124" s="1" t="s">
        <v>53</v>
      </c>
      <c r="F124" s="45" t="n">
        <v>21356545.7857144</v>
      </c>
    </row>
    <row r="125" customFormat="false" ht="12" hidden="false" customHeight="false" outlineLevel="0" collapsed="false">
      <c r="A125" s="1" t="n">
        <v>2025</v>
      </c>
      <c r="B125" s="1" t="n">
        <v>6</v>
      </c>
      <c r="C125" s="1" t="s">
        <v>15</v>
      </c>
      <c r="D125" s="1" t="s">
        <v>16</v>
      </c>
      <c r="F125" s="45" t="n">
        <v>18830596.9193565</v>
      </c>
    </row>
    <row r="126" customFormat="false" ht="12" hidden="false" customHeight="false" outlineLevel="0" collapsed="false">
      <c r="A126" s="1" t="n">
        <v>2025</v>
      </c>
      <c r="B126" s="1" t="n">
        <v>6</v>
      </c>
      <c r="C126" s="1" t="s">
        <v>15</v>
      </c>
      <c r="D126" s="1" t="s">
        <v>53</v>
      </c>
      <c r="F126" s="45" t="n">
        <v>29432808.4252042</v>
      </c>
    </row>
    <row r="127" customFormat="false" ht="12" hidden="false" customHeight="false" outlineLevel="0" collapsed="false">
      <c r="A127" s="1" t="n">
        <v>2025</v>
      </c>
      <c r="B127" s="1" t="n">
        <v>6</v>
      </c>
      <c r="C127" s="1" t="s">
        <v>90</v>
      </c>
      <c r="D127" s="1" t="s">
        <v>16</v>
      </c>
      <c r="F127" s="45" t="n">
        <v>13316238.2646543</v>
      </c>
    </row>
    <row r="128" customFormat="false" ht="12" hidden="false" customHeight="false" outlineLevel="0" collapsed="false">
      <c r="A128" s="1" t="n">
        <v>2025</v>
      </c>
      <c r="B128" s="1" t="n">
        <v>6</v>
      </c>
      <c r="C128" s="1" t="s">
        <v>90</v>
      </c>
      <c r="D128" s="1" t="s">
        <v>53</v>
      </c>
      <c r="F128" s="45" t="n">
        <v>20874371.9865552</v>
      </c>
    </row>
    <row r="129" customFormat="false" ht="12" hidden="false" customHeight="false" outlineLevel="0" collapsed="false">
      <c r="A129" s="1" t="n">
        <v>2025</v>
      </c>
      <c r="B129" s="1" t="n">
        <v>7</v>
      </c>
      <c r="C129" s="1" t="s">
        <v>15</v>
      </c>
      <c r="D129" s="1" t="s">
        <v>16</v>
      </c>
      <c r="F129" s="45" t="n">
        <v>20470045.6561846</v>
      </c>
    </row>
    <row r="130" customFormat="false" ht="12" hidden="false" customHeight="false" outlineLevel="0" collapsed="false">
      <c r="A130" s="1" t="n">
        <v>2025</v>
      </c>
      <c r="B130" s="1" t="n">
        <v>7</v>
      </c>
      <c r="C130" s="1" t="s">
        <v>15</v>
      </c>
      <c r="D130" s="1" t="s">
        <v>53</v>
      </c>
      <c r="F130" s="45" t="n">
        <v>29916034.7084372</v>
      </c>
    </row>
    <row r="131" customFormat="false" ht="12" hidden="false" customHeight="false" outlineLevel="0" collapsed="false">
      <c r="A131" s="1" t="n">
        <v>2025</v>
      </c>
      <c r="B131" s="1" t="n">
        <v>7</v>
      </c>
      <c r="C131" s="1" t="s">
        <v>90</v>
      </c>
      <c r="D131" s="1" t="s">
        <v>16</v>
      </c>
      <c r="F131" s="45" t="n">
        <v>15111588.8317407</v>
      </c>
    </row>
    <row r="132" customFormat="false" ht="12" hidden="false" customHeight="false" outlineLevel="0" collapsed="false">
      <c r="A132" s="1" t="n">
        <v>2025</v>
      </c>
      <c r="B132" s="1" t="n">
        <v>7</v>
      </c>
      <c r="C132" s="1" t="s">
        <v>90</v>
      </c>
      <c r="D132" s="1" t="s">
        <v>53</v>
      </c>
      <c r="F132" s="45" t="n">
        <v>21472717.9268494</v>
      </c>
    </row>
    <row r="133" customFormat="false" ht="12" hidden="false" customHeight="false" outlineLevel="0" collapsed="false">
      <c r="A133" s="1" t="n">
        <v>2025</v>
      </c>
      <c r="B133" s="1" t="n">
        <v>8</v>
      </c>
      <c r="C133" s="1" t="s">
        <v>15</v>
      </c>
      <c r="D133" s="1" t="s">
        <v>16</v>
      </c>
      <c r="F133" s="45" t="n">
        <v>20413991.7725956</v>
      </c>
    </row>
    <row r="134" customFormat="false" ht="12" hidden="false" customHeight="false" outlineLevel="0" collapsed="false">
      <c r="A134" s="1" t="n">
        <v>2025</v>
      </c>
      <c r="B134" s="1" t="n">
        <v>8</v>
      </c>
      <c r="C134" s="1" t="s">
        <v>15</v>
      </c>
      <c r="D134" s="1" t="s">
        <v>53</v>
      </c>
      <c r="F134" s="45" t="n">
        <v>30511006.8360826</v>
      </c>
    </row>
    <row r="135" customFormat="false" ht="12" hidden="false" customHeight="false" outlineLevel="0" collapsed="false">
      <c r="A135" s="1" t="n">
        <v>2025</v>
      </c>
      <c r="B135" s="1" t="n">
        <v>8</v>
      </c>
      <c r="C135" s="1" t="s">
        <v>90</v>
      </c>
      <c r="D135" s="1" t="s">
        <v>16</v>
      </c>
      <c r="F135" s="45" t="n">
        <v>14263316.8182996</v>
      </c>
    </row>
    <row r="136" customFormat="false" ht="12" hidden="false" customHeight="false" outlineLevel="0" collapsed="false">
      <c r="A136" s="1" t="n">
        <v>2025</v>
      </c>
      <c r="B136" s="1" t="n">
        <v>8</v>
      </c>
      <c r="C136" s="1" t="s">
        <v>90</v>
      </c>
      <c r="D136" s="1" t="s">
        <v>53</v>
      </c>
      <c r="F136" s="45" t="n">
        <v>22468277.5477767</v>
      </c>
    </row>
    <row r="137" customFormat="false" ht="12" hidden="false" customHeight="false" outlineLevel="0" collapsed="false">
      <c r="A137" s="1" t="n">
        <v>2025</v>
      </c>
      <c r="B137" s="1" t="n">
        <v>9</v>
      </c>
      <c r="C137" s="1" t="s">
        <v>15</v>
      </c>
      <c r="D137" s="1" t="s">
        <v>16</v>
      </c>
      <c r="F137" s="45" t="n">
        <v>21594313.6594355</v>
      </c>
    </row>
    <row r="138" customFormat="false" ht="12" hidden="false" customHeight="false" outlineLevel="0" collapsed="false">
      <c r="A138" s="1" t="n">
        <v>2025</v>
      </c>
      <c r="B138" s="1" t="n">
        <v>9</v>
      </c>
      <c r="C138" s="1" t="s">
        <v>15</v>
      </c>
      <c r="D138" s="1" t="s">
        <v>53</v>
      </c>
      <c r="F138" s="45" t="n">
        <v>31951714.8378899</v>
      </c>
    </row>
    <row r="139" customFormat="false" ht="12" hidden="false" customHeight="false" outlineLevel="0" collapsed="false">
      <c r="A139" s="1" t="n">
        <v>2025</v>
      </c>
      <c r="B139" s="1" t="n">
        <v>9</v>
      </c>
      <c r="C139" s="1" t="s">
        <v>90</v>
      </c>
      <c r="D139" s="1" t="s">
        <v>16</v>
      </c>
      <c r="F139" s="45" t="n">
        <v>14553164.8040384</v>
      </c>
    </row>
    <row r="140" customFormat="false" ht="12" hidden="false" customHeight="false" outlineLevel="0" collapsed="false">
      <c r="A140" s="1" t="n">
        <v>2025</v>
      </c>
      <c r="B140" s="1" t="n">
        <v>9</v>
      </c>
      <c r="C140" s="1" t="s">
        <v>90</v>
      </c>
      <c r="D140" s="1" t="s">
        <v>53</v>
      </c>
      <c r="F140" s="45" t="n">
        <v>22655209.3528912</v>
      </c>
    </row>
    <row r="141" customFormat="false" ht="12" hidden="false" customHeight="false" outlineLevel="0" collapsed="false">
      <c r="A141" s="1" t="n">
        <v>2025</v>
      </c>
      <c r="B141" s="1" t="n">
        <v>10</v>
      </c>
      <c r="C141" s="1" t="s">
        <v>15</v>
      </c>
      <c r="D141" s="1" t="s">
        <v>16</v>
      </c>
      <c r="F141" s="45" t="n">
        <v>22252515.1632932</v>
      </c>
    </row>
    <row r="142" customFormat="false" ht="12" hidden="false" customHeight="false" outlineLevel="0" collapsed="false">
      <c r="A142" s="1" t="n">
        <v>2025</v>
      </c>
      <c r="B142" s="1" t="n">
        <v>10</v>
      </c>
      <c r="C142" s="1" t="s">
        <v>15</v>
      </c>
      <c r="D142" s="1" t="s">
        <v>53</v>
      </c>
      <c r="F142" s="45" t="n">
        <v>32375680.1470996</v>
      </c>
    </row>
    <row r="143" customFormat="false" ht="12" hidden="false" customHeight="false" outlineLevel="0" collapsed="false">
      <c r="A143" s="1" t="n">
        <v>2025</v>
      </c>
      <c r="B143" s="1" t="n">
        <v>10</v>
      </c>
      <c r="C143" s="1" t="s">
        <v>90</v>
      </c>
      <c r="D143" s="1" t="s">
        <v>16</v>
      </c>
      <c r="F143" s="45" t="n">
        <v>16542248.8897494</v>
      </c>
    </row>
    <row r="144" customFormat="false" ht="12" hidden="false" customHeight="false" outlineLevel="0" collapsed="false">
      <c r="A144" s="1" t="n">
        <v>2025</v>
      </c>
      <c r="B144" s="1" t="n">
        <v>10</v>
      </c>
      <c r="C144" s="1" t="s">
        <v>90</v>
      </c>
      <c r="D144" s="1" t="s">
        <v>53</v>
      </c>
      <c r="F144" s="45" t="n">
        <v>24425912.6232392</v>
      </c>
    </row>
    <row r="145" customFormat="false" ht="12" hidden="false" customHeight="false" outlineLevel="0" collapsed="false">
      <c r="A145" s="1" t="n">
        <v>2025</v>
      </c>
      <c r="B145" s="1" t="n">
        <v>11</v>
      </c>
      <c r="C145" s="1" t="s">
        <v>15</v>
      </c>
      <c r="D145" s="1" t="s">
        <v>16</v>
      </c>
      <c r="F145" s="45" t="n">
        <v>21598918.1542103</v>
      </c>
    </row>
    <row r="146" customFormat="false" ht="12" hidden="false" customHeight="false" outlineLevel="0" collapsed="false">
      <c r="A146" s="1" t="n">
        <v>2025</v>
      </c>
      <c r="B146" s="1" t="n">
        <v>11</v>
      </c>
      <c r="C146" s="1" t="s">
        <v>15</v>
      </c>
      <c r="D146" s="1" t="s">
        <v>53</v>
      </c>
      <c r="F146" s="45" t="n">
        <v>31268287.768332</v>
      </c>
    </row>
    <row r="147" customFormat="false" ht="12" hidden="false" customHeight="false" outlineLevel="0" collapsed="false">
      <c r="A147" s="1" t="n">
        <v>2025</v>
      </c>
      <c r="B147" s="1" t="n">
        <v>11</v>
      </c>
      <c r="C147" s="1" t="s">
        <v>90</v>
      </c>
      <c r="D147" s="1" t="s">
        <v>16</v>
      </c>
      <c r="F147" s="45" t="n">
        <v>16005761.0146512</v>
      </c>
    </row>
    <row r="148" customFormat="false" ht="12" hidden="false" customHeight="false" outlineLevel="0" collapsed="false">
      <c r="A148" s="1" t="n">
        <v>2025</v>
      </c>
      <c r="B148" s="1" t="n">
        <v>11</v>
      </c>
      <c r="C148" s="1" t="s">
        <v>90</v>
      </c>
      <c r="D148" s="1" t="s">
        <v>53</v>
      </c>
      <c r="F148" s="45" t="n">
        <v>22318087.9591081</v>
      </c>
    </row>
    <row r="149" customFormat="false" ht="12" hidden="false" customHeight="false" outlineLevel="0" collapsed="false">
      <c r="A149" s="1" t="n">
        <v>2025</v>
      </c>
      <c r="B149" s="1" t="n">
        <v>12</v>
      </c>
      <c r="C149" s="1" t="s">
        <v>15</v>
      </c>
      <c r="D149" s="1" t="s">
        <v>16</v>
      </c>
      <c r="F149" s="45" t="n">
        <v>25785972.210812</v>
      </c>
    </row>
    <row r="150" customFormat="false" ht="12" hidden="false" customHeight="false" outlineLevel="0" collapsed="false">
      <c r="A150" s="1" t="n">
        <v>2025</v>
      </c>
      <c r="B150" s="1" t="n">
        <v>12</v>
      </c>
      <c r="C150" s="1" t="s">
        <v>15</v>
      </c>
      <c r="D150" s="1" t="s">
        <v>53</v>
      </c>
      <c r="F150" s="45" t="n">
        <v>32653911.3063195</v>
      </c>
    </row>
    <row r="151" customFormat="false" ht="12" hidden="false" customHeight="false" outlineLevel="0" collapsed="false">
      <c r="A151" s="1" t="n">
        <v>2025</v>
      </c>
      <c r="B151" s="1" t="n">
        <v>12</v>
      </c>
      <c r="C151" s="1" t="s">
        <v>90</v>
      </c>
      <c r="D151" s="1" t="s">
        <v>16</v>
      </c>
      <c r="F151" s="45" t="n">
        <v>17575829.1535207</v>
      </c>
    </row>
    <row r="152" customFormat="false" ht="12" hidden="false" customHeight="false" outlineLevel="0" collapsed="false">
      <c r="A152" s="1" t="n">
        <v>2025</v>
      </c>
      <c r="B152" s="1" t="n">
        <v>12</v>
      </c>
      <c r="C152" s="1" t="s">
        <v>90</v>
      </c>
      <c r="D152" s="1" t="s">
        <v>53</v>
      </c>
      <c r="F152" s="45" t="n">
        <v>24098295.5236899</v>
      </c>
    </row>
    <row r="153" customFormat="false" ht="12" hidden="false" customHeight="false" outlineLevel="0" collapsed="false">
      <c r="A153" s="1" t="n">
        <v>2026</v>
      </c>
      <c r="B153" s="1" t="n">
        <v>1</v>
      </c>
      <c r="C153" s="1" t="s">
        <v>15</v>
      </c>
      <c r="D153" s="1" t="s">
        <v>16</v>
      </c>
      <c r="F153" s="45" t="n">
        <v>11172334.9609751</v>
      </c>
    </row>
    <row r="154" customFormat="false" ht="12" hidden="false" customHeight="false" outlineLevel="0" collapsed="false">
      <c r="A154" s="1" t="n">
        <v>2026</v>
      </c>
      <c r="B154" s="1" t="n">
        <v>1</v>
      </c>
      <c r="C154" s="1" t="s">
        <v>15</v>
      </c>
      <c r="D154" s="1" t="s">
        <v>53</v>
      </c>
      <c r="F154" s="45" t="n">
        <v>34139919.3095418</v>
      </c>
    </row>
    <row r="155" customFormat="false" ht="12" hidden="false" customHeight="false" outlineLevel="0" collapsed="false">
      <c r="A155" s="1" t="n">
        <v>2026</v>
      </c>
      <c r="B155" s="1" t="n">
        <v>1</v>
      </c>
      <c r="C155" s="1" t="s">
        <v>90</v>
      </c>
      <c r="D155" s="1" t="s">
        <v>16</v>
      </c>
      <c r="F155" s="45" t="n">
        <v>11460141.5874328</v>
      </c>
    </row>
    <row r="156" customFormat="false" ht="12" hidden="false" customHeight="false" outlineLevel="0" collapsed="false">
      <c r="A156" s="1" t="n">
        <v>2026</v>
      </c>
      <c r="B156" s="1" t="n">
        <v>1</v>
      </c>
      <c r="C156" s="1" t="s">
        <v>90</v>
      </c>
      <c r="D156" s="1" t="s">
        <v>53</v>
      </c>
      <c r="F156" s="45" t="n">
        <v>14809296.0736506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64" activePane="bottomLeft" state="frozen"/>
      <selection pane="topLeft" activeCell="A1" activeCellId="0" sqref="A1"/>
      <selection pane="bottomLeft" activeCell="I7" activeCellId="0" sqref="I7"/>
    </sheetView>
  </sheetViews>
  <sheetFormatPr defaultColWidth="8.73046875" defaultRowHeight="12" customHeight="false" zeroHeight="false" outlineLevelRow="0" outlineLevelCol="0"/>
  <cols>
    <col collapsed="false" customWidth="true" hidden="false" outlineLevel="0" max="1" min="1" style="1" width="15.36"/>
    <col collapsed="false" customWidth="true" hidden="false" outlineLevel="0" max="3" min="2" style="1" width="7.45"/>
    <col collapsed="false" customWidth="true" hidden="false" outlineLevel="0" max="7" min="4" style="45" width="12.27"/>
    <col collapsed="false" customWidth="true" hidden="false" outlineLevel="0" max="8" min="8" style="45" width="14.54"/>
    <col collapsed="false" customWidth="true" hidden="false" outlineLevel="0" max="9" min="9" style="45" width="14.18"/>
    <col collapsed="false" customWidth="true" hidden="false" outlineLevel="0" max="10" min="10" style="1" width="10.09"/>
    <col collapsed="false" customWidth="true" hidden="false" outlineLevel="0" max="11" min="11" style="1" width="11.54"/>
    <col collapsed="false" customWidth="false" hidden="false" outlineLevel="0" max="16384" min="12" style="1" width="8.73"/>
  </cols>
  <sheetData>
    <row r="1" customFormat="false" ht="12" hidden="false" customHeight="false" outlineLevel="0" collapsed="false">
      <c r="A1" s="1" t="s">
        <v>196</v>
      </c>
    </row>
    <row r="6" s="4" customFormat="true" ht="12" hidden="false" customHeight="false" outlineLevel="0" collapsed="false">
      <c r="A6" s="4" t="s">
        <v>197</v>
      </c>
      <c r="B6" s="4" t="s">
        <v>10</v>
      </c>
      <c r="C6" s="4" t="s">
        <v>11</v>
      </c>
      <c r="D6" s="92" t="s">
        <v>198</v>
      </c>
      <c r="E6" s="4" t="s">
        <v>199</v>
      </c>
      <c r="F6" s="4" t="s">
        <v>200</v>
      </c>
      <c r="G6" s="92" t="s">
        <v>12</v>
      </c>
      <c r="H6" s="92" t="s">
        <v>201</v>
      </c>
      <c r="I6" s="92" t="s">
        <v>195</v>
      </c>
    </row>
    <row r="7" customFormat="false" ht="12" hidden="false" customHeight="false" outlineLevel="0" collapsed="false">
      <c r="A7" s="5" t="n">
        <v>45322</v>
      </c>
      <c r="B7" s="2" t="s">
        <v>15</v>
      </c>
      <c r="C7" s="2" t="s">
        <v>16</v>
      </c>
      <c r="D7" s="93" t="n">
        <v>20351216.44</v>
      </c>
      <c r="E7" s="1" t="n">
        <f aca="false">YEAR(A7)</f>
        <v>2024</v>
      </c>
      <c r="F7" s="1" t="n">
        <f aca="false">MONTH(A7)</f>
        <v>1</v>
      </c>
      <c r="G7" s="1" t="n">
        <f aca="false">(YEAR(close_date)-YEAR(A7))*12+MONTH(close_date)-MONTH(A7)</f>
        <v>24</v>
      </c>
      <c r="H7" s="8" t="n">
        <f aca="false">VLOOKUP(B7&amp;C7&amp;G7,cf!D:E,2,FALSE())</f>
        <v>1</v>
      </c>
      <c r="I7" s="45" t="n">
        <f aca="false">D7/H7</f>
        <v>20351216.44</v>
      </c>
    </row>
    <row r="8" customFormat="false" ht="12" hidden="false" customHeight="false" outlineLevel="0" collapsed="false">
      <c r="A8" s="5" t="n">
        <v>45322</v>
      </c>
      <c r="B8" s="2" t="s">
        <v>15</v>
      </c>
      <c r="C8" s="2" t="s">
        <v>53</v>
      </c>
      <c r="D8" s="93" t="n">
        <v>30526824.66</v>
      </c>
      <c r="E8" s="1" t="n">
        <f aca="false">YEAR(A8)</f>
        <v>2024</v>
      </c>
      <c r="F8" s="1" t="n">
        <f aca="false">MONTH(A8)</f>
        <v>1</v>
      </c>
      <c r="G8" s="1" t="n">
        <f aca="false">(YEAR(close_date)-YEAR(A8))*12+MONTH(close_date)-MONTH(A8)</f>
        <v>24</v>
      </c>
      <c r="H8" s="8" t="n">
        <f aca="false">VLOOKUP(B8&amp;C8&amp;G8,cf!D:E,2,FALSE())</f>
        <v>1</v>
      </c>
      <c r="I8" s="45" t="n">
        <f aca="false">D8/H8</f>
        <v>30526824.66</v>
      </c>
    </row>
    <row r="9" customFormat="false" ht="12" hidden="false" customHeight="false" outlineLevel="0" collapsed="false">
      <c r="A9" s="5" t="n">
        <v>45322</v>
      </c>
      <c r="B9" s="2" t="s">
        <v>90</v>
      </c>
      <c r="C9" s="2" t="s">
        <v>16</v>
      </c>
      <c r="D9" s="93" t="n">
        <v>14557014.39</v>
      </c>
      <c r="E9" s="1" t="n">
        <f aca="false">YEAR(A9)</f>
        <v>2024</v>
      </c>
      <c r="F9" s="1" t="n">
        <f aca="false">MONTH(A9)</f>
        <v>1</v>
      </c>
      <c r="G9" s="1" t="n">
        <f aca="false">(YEAR(close_date)-YEAR(A9))*12+MONTH(close_date)-MONTH(A9)</f>
        <v>24</v>
      </c>
      <c r="H9" s="8" t="n">
        <f aca="false">VLOOKUP(B9&amp;C9&amp;G9,cf!D:E,2,FALSE())</f>
        <v>1</v>
      </c>
      <c r="I9" s="45" t="n">
        <f aca="false">D9/H9</f>
        <v>14557014.39</v>
      </c>
    </row>
    <row r="10" customFormat="false" ht="12" hidden="false" customHeight="false" outlineLevel="0" collapsed="false">
      <c r="A10" s="5" t="n">
        <v>45322</v>
      </c>
      <c r="B10" s="2" t="s">
        <v>90</v>
      </c>
      <c r="C10" s="2" t="s">
        <v>53</v>
      </c>
      <c r="D10" s="93" t="n">
        <v>21835521.59</v>
      </c>
      <c r="E10" s="1" t="n">
        <f aca="false">YEAR(A10)</f>
        <v>2024</v>
      </c>
      <c r="F10" s="1" t="n">
        <f aca="false">MONTH(A10)</f>
        <v>1</v>
      </c>
      <c r="G10" s="1" t="n">
        <f aca="false">(YEAR(close_date)-YEAR(A10))*12+MONTH(close_date)-MONTH(A10)</f>
        <v>24</v>
      </c>
      <c r="H10" s="8" t="n">
        <f aca="false">VLOOKUP(B10&amp;C10&amp;G10,cf!D:E,2,FALSE())</f>
        <v>1</v>
      </c>
      <c r="I10" s="45" t="n">
        <f aca="false">D10/H10</f>
        <v>21835521.59</v>
      </c>
    </row>
    <row r="11" customFormat="false" ht="12" hidden="false" customHeight="false" outlineLevel="0" collapsed="false">
      <c r="A11" s="5" t="n">
        <v>45351</v>
      </c>
      <c r="B11" s="2" t="s">
        <v>15</v>
      </c>
      <c r="C11" s="2" t="s">
        <v>16</v>
      </c>
      <c r="D11" s="93" t="n">
        <v>20212088.08</v>
      </c>
      <c r="E11" s="1" t="n">
        <f aca="false">YEAR(A11)</f>
        <v>2024</v>
      </c>
      <c r="F11" s="1" t="n">
        <f aca="false">MONTH(A11)</f>
        <v>2</v>
      </c>
      <c r="G11" s="1" t="n">
        <f aca="false">(YEAR(close_date)-YEAR(A11))*12+MONTH(close_date)-MONTH(A11)</f>
        <v>23</v>
      </c>
      <c r="H11" s="8" t="n">
        <f aca="false">VLOOKUP(B11&amp;C11&amp;G11,cf!D:E,2,FALSE())</f>
        <v>1</v>
      </c>
      <c r="I11" s="45" t="n">
        <f aca="false">D11/H11</f>
        <v>20212088.08</v>
      </c>
    </row>
    <row r="12" customFormat="false" ht="12" hidden="false" customHeight="false" outlineLevel="0" collapsed="false">
      <c r="A12" s="5" t="n">
        <v>45351</v>
      </c>
      <c r="B12" s="2" t="s">
        <v>15</v>
      </c>
      <c r="C12" s="2" t="s">
        <v>53</v>
      </c>
      <c r="D12" s="93" t="n">
        <v>30318132.12</v>
      </c>
      <c r="E12" s="1" t="n">
        <f aca="false">YEAR(A12)</f>
        <v>2024</v>
      </c>
      <c r="F12" s="1" t="n">
        <f aca="false">MONTH(A12)</f>
        <v>2</v>
      </c>
      <c r="G12" s="1" t="n">
        <f aca="false">(YEAR(close_date)-YEAR(A12))*12+MONTH(close_date)-MONTH(A12)</f>
        <v>23</v>
      </c>
      <c r="H12" s="8" t="n">
        <f aca="false">VLOOKUP(B12&amp;C12&amp;G12,cf!D:E,2,FALSE())</f>
        <v>1</v>
      </c>
      <c r="I12" s="45" t="n">
        <f aca="false">D12/H12</f>
        <v>30318132.12</v>
      </c>
    </row>
    <row r="13" customFormat="false" ht="12" hidden="false" customHeight="false" outlineLevel="0" collapsed="false">
      <c r="A13" s="5" t="n">
        <v>45351</v>
      </c>
      <c r="B13" s="2" t="s">
        <v>90</v>
      </c>
      <c r="C13" s="2" t="s">
        <v>16</v>
      </c>
      <c r="D13" s="93" t="n">
        <v>14458063.19</v>
      </c>
      <c r="E13" s="1" t="n">
        <f aca="false">YEAR(A13)</f>
        <v>2024</v>
      </c>
      <c r="F13" s="1" t="n">
        <f aca="false">MONTH(A13)</f>
        <v>2</v>
      </c>
      <c r="G13" s="1" t="n">
        <f aca="false">(YEAR(close_date)-YEAR(A13))*12+MONTH(close_date)-MONTH(A13)</f>
        <v>23</v>
      </c>
      <c r="H13" s="8" t="n">
        <f aca="false">VLOOKUP(B13&amp;C13&amp;G13,cf!D:E,2,FALSE())</f>
        <v>1</v>
      </c>
      <c r="I13" s="45" t="n">
        <f aca="false">D13/H13</f>
        <v>14458063.19</v>
      </c>
    </row>
    <row r="14" customFormat="false" ht="12" hidden="false" customHeight="false" outlineLevel="0" collapsed="false">
      <c r="A14" s="5" t="n">
        <v>45351</v>
      </c>
      <c r="B14" s="2" t="s">
        <v>90</v>
      </c>
      <c r="C14" s="2" t="s">
        <v>53</v>
      </c>
      <c r="D14" s="93" t="n">
        <v>21687094.79</v>
      </c>
      <c r="E14" s="1" t="n">
        <f aca="false">YEAR(A14)</f>
        <v>2024</v>
      </c>
      <c r="F14" s="1" t="n">
        <f aca="false">MONTH(A14)</f>
        <v>2</v>
      </c>
      <c r="G14" s="1" t="n">
        <f aca="false">(YEAR(close_date)-YEAR(A14))*12+MONTH(close_date)-MONTH(A14)</f>
        <v>23</v>
      </c>
      <c r="H14" s="8" t="n">
        <f aca="false">VLOOKUP(B14&amp;C14&amp;G14,cf!D:E,2,FALSE())</f>
        <v>1</v>
      </c>
      <c r="I14" s="45" t="n">
        <f aca="false">D14/H14</f>
        <v>21687094.79</v>
      </c>
    </row>
    <row r="15" customFormat="false" ht="12" hidden="false" customHeight="false" outlineLevel="0" collapsed="false">
      <c r="A15" s="5" t="n">
        <v>45382</v>
      </c>
      <c r="B15" s="2" t="s">
        <v>15</v>
      </c>
      <c r="C15" s="2" t="s">
        <v>16</v>
      </c>
      <c r="D15" s="93" t="n">
        <v>20133312.7</v>
      </c>
      <c r="E15" s="1" t="n">
        <f aca="false">YEAR(A15)</f>
        <v>2024</v>
      </c>
      <c r="F15" s="1" t="n">
        <f aca="false">MONTH(A15)</f>
        <v>3</v>
      </c>
      <c r="G15" s="1" t="n">
        <f aca="false">(YEAR(close_date)-YEAR(A15))*12+MONTH(close_date)-MONTH(A15)</f>
        <v>22</v>
      </c>
      <c r="H15" s="8" t="n">
        <f aca="false">VLOOKUP(B15&amp;C15&amp;G15,cf!D:E,2,FALSE())</f>
        <v>1</v>
      </c>
      <c r="I15" s="45" t="n">
        <f aca="false">D15/H15</f>
        <v>20133312.7</v>
      </c>
    </row>
    <row r="16" customFormat="false" ht="12" hidden="false" customHeight="false" outlineLevel="0" collapsed="false">
      <c r="A16" s="5" t="n">
        <v>45382</v>
      </c>
      <c r="B16" s="2" t="s">
        <v>15</v>
      </c>
      <c r="C16" s="2" t="s">
        <v>53</v>
      </c>
      <c r="D16" s="93" t="n">
        <v>30199969.05</v>
      </c>
      <c r="E16" s="1" t="n">
        <f aca="false">YEAR(A16)</f>
        <v>2024</v>
      </c>
      <c r="F16" s="1" t="n">
        <f aca="false">MONTH(A16)</f>
        <v>3</v>
      </c>
      <c r="G16" s="1" t="n">
        <f aca="false">(YEAR(close_date)-YEAR(A16))*12+MONTH(close_date)-MONTH(A16)</f>
        <v>22</v>
      </c>
      <c r="H16" s="8" t="n">
        <f aca="false">VLOOKUP(B16&amp;C16&amp;G16,cf!D:E,2,FALSE())</f>
        <v>1</v>
      </c>
      <c r="I16" s="45" t="n">
        <f aca="false">D16/H16</f>
        <v>30199969.05</v>
      </c>
    </row>
    <row r="17" customFormat="false" ht="12" hidden="false" customHeight="false" outlineLevel="0" collapsed="false">
      <c r="A17" s="5" t="n">
        <v>45382</v>
      </c>
      <c r="B17" s="2" t="s">
        <v>90</v>
      </c>
      <c r="C17" s="2" t="s">
        <v>16</v>
      </c>
      <c r="D17" s="93" t="n">
        <v>14401327.86</v>
      </c>
      <c r="E17" s="1" t="n">
        <f aca="false">YEAR(A17)</f>
        <v>2024</v>
      </c>
      <c r="F17" s="1" t="n">
        <f aca="false">MONTH(A17)</f>
        <v>3</v>
      </c>
      <c r="G17" s="1" t="n">
        <f aca="false">(YEAR(close_date)-YEAR(A17))*12+MONTH(close_date)-MONTH(A17)</f>
        <v>22</v>
      </c>
      <c r="H17" s="8" t="n">
        <f aca="false">VLOOKUP(B17&amp;C17&amp;G17,cf!D:E,2,FALSE())</f>
        <v>1</v>
      </c>
      <c r="I17" s="45" t="n">
        <f aca="false">D17/H17</f>
        <v>14401327.86</v>
      </c>
    </row>
    <row r="18" customFormat="false" ht="12" hidden="false" customHeight="false" outlineLevel="0" collapsed="false">
      <c r="A18" s="5" t="n">
        <v>45382</v>
      </c>
      <c r="B18" s="2" t="s">
        <v>90</v>
      </c>
      <c r="C18" s="2" t="s">
        <v>53</v>
      </c>
      <c r="D18" s="93" t="n">
        <v>21601991.79</v>
      </c>
      <c r="E18" s="1" t="n">
        <f aca="false">YEAR(A18)</f>
        <v>2024</v>
      </c>
      <c r="F18" s="1" t="n">
        <f aca="false">MONTH(A18)</f>
        <v>3</v>
      </c>
      <c r="G18" s="1" t="n">
        <f aca="false">(YEAR(close_date)-YEAR(A18))*12+MONTH(close_date)-MONTH(A18)</f>
        <v>22</v>
      </c>
      <c r="H18" s="8" t="n">
        <f aca="false">VLOOKUP(B18&amp;C18&amp;G18,cf!D:E,2,FALSE())</f>
        <v>1</v>
      </c>
      <c r="I18" s="45" t="n">
        <f aca="false">D18/H18</f>
        <v>21601991.79</v>
      </c>
    </row>
    <row r="19" customFormat="false" ht="12" hidden="false" customHeight="false" outlineLevel="0" collapsed="false">
      <c r="A19" s="5" t="n">
        <v>45412</v>
      </c>
      <c r="B19" s="2" t="s">
        <v>15</v>
      </c>
      <c r="C19" s="2" t="s">
        <v>16</v>
      </c>
      <c r="D19" s="93" t="n">
        <v>19195392.53</v>
      </c>
      <c r="E19" s="1" t="n">
        <f aca="false">YEAR(A19)</f>
        <v>2024</v>
      </c>
      <c r="F19" s="1" t="n">
        <f aca="false">MONTH(A19)</f>
        <v>4</v>
      </c>
      <c r="G19" s="1" t="n">
        <f aca="false">(YEAR(close_date)-YEAR(A19))*12+MONTH(close_date)-MONTH(A19)</f>
        <v>21</v>
      </c>
      <c r="H19" s="8" t="n">
        <f aca="false">VLOOKUP(B19&amp;C19&amp;G19,cf!D:E,2,FALSE())</f>
        <v>1</v>
      </c>
      <c r="I19" s="45" t="n">
        <f aca="false">D19/H19</f>
        <v>19195392.53</v>
      </c>
    </row>
    <row r="20" customFormat="false" ht="12" hidden="false" customHeight="false" outlineLevel="0" collapsed="false">
      <c r="A20" s="5" t="n">
        <v>45412</v>
      </c>
      <c r="B20" s="2" t="s">
        <v>15</v>
      </c>
      <c r="C20" s="2" t="s">
        <v>53</v>
      </c>
      <c r="D20" s="93" t="n">
        <v>28793088.8</v>
      </c>
      <c r="E20" s="1" t="n">
        <f aca="false">YEAR(A20)</f>
        <v>2024</v>
      </c>
      <c r="F20" s="1" t="n">
        <f aca="false">MONTH(A20)</f>
        <v>4</v>
      </c>
      <c r="G20" s="1" t="n">
        <f aca="false">(YEAR(close_date)-YEAR(A20))*12+MONTH(close_date)-MONTH(A20)</f>
        <v>21</v>
      </c>
      <c r="H20" s="8" t="n">
        <f aca="false">VLOOKUP(B20&amp;C20&amp;G20,cf!D:E,2,FALSE())</f>
        <v>1</v>
      </c>
      <c r="I20" s="45" t="n">
        <f aca="false">D20/H20</f>
        <v>28793088.8</v>
      </c>
    </row>
    <row r="21" customFormat="false" ht="12" hidden="false" customHeight="false" outlineLevel="0" collapsed="false">
      <c r="A21" s="5" t="n">
        <v>45412</v>
      </c>
      <c r="B21" s="2" t="s">
        <v>90</v>
      </c>
      <c r="C21" s="2" t="s">
        <v>16</v>
      </c>
      <c r="D21" s="93" t="n">
        <v>13730405</v>
      </c>
      <c r="E21" s="1" t="n">
        <f aca="false">YEAR(A21)</f>
        <v>2024</v>
      </c>
      <c r="F21" s="1" t="n">
        <f aca="false">MONTH(A21)</f>
        <v>4</v>
      </c>
      <c r="G21" s="1" t="n">
        <f aca="false">(YEAR(close_date)-YEAR(A21))*12+MONTH(close_date)-MONTH(A21)</f>
        <v>21</v>
      </c>
      <c r="H21" s="8" t="n">
        <f aca="false">VLOOKUP(B21&amp;C21&amp;G21,cf!D:E,2,FALSE())</f>
        <v>1</v>
      </c>
      <c r="I21" s="45" t="n">
        <f aca="false">D21/H21</f>
        <v>13730405</v>
      </c>
    </row>
    <row r="22" customFormat="false" ht="12" hidden="false" customHeight="false" outlineLevel="0" collapsed="false">
      <c r="A22" s="5" t="n">
        <v>45412</v>
      </c>
      <c r="B22" s="2" t="s">
        <v>90</v>
      </c>
      <c r="C22" s="2" t="s">
        <v>53</v>
      </c>
      <c r="D22" s="93" t="n">
        <v>20595607.49</v>
      </c>
      <c r="E22" s="1" t="n">
        <f aca="false">YEAR(A22)</f>
        <v>2024</v>
      </c>
      <c r="F22" s="1" t="n">
        <f aca="false">MONTH(A22)</f>
        <v>4</v>
      </c>
      <c r="G22" s="1" t="n">
        <f aca="false">(YEAR(close_date)-YEAR(A22))*12+MONTH(close_date)-MONTH(A22)</f>
        <v>21</v>
      </c>
      <c r="H22" s="8" t="n">
        <f aca="false">VLOOKUP(B22&amp;C22&amp;G22,cf!D:E,2,FALSE())</f>
        <v>1</v>
      </c>
      <c r="I22" s="45" t="n">
        <f aca="false">D22/H22</f>
        <v>20595607.49</v>
      </c>
    </row>
    <row r="23" customFormat="false" ht="12" hidden="false" customHeight="false" outlineLevel="0" collapsed="false">
      <c r="A23" s="5" t="n">
        <v>45443</v>
      </c>
      <c r="B23" s="2" t="s">
        <v>15</v>
      </c>
      <c r="C23" s="2" t="s">
        <v>16</v>
      </c>
      <c r="D23" s="93" t="n">
        <v>19218796.01</v>
      </c>
      <c r="E23" s="1" t="n">
        <f aca="false">YEAR(A23)</f>
        <v>2024</v>
      </c>
      <c r="F23" s="1" t="n">
        <f aca="false">MONTH(A23)</f>
        <v>5</v>
      </c>
      <c r="G23" s="1" t="n">
        <f aca="false">(YEAR(close_date)-YEAR(A23))*12+MONTH(close_date)-MONTH(A23)</f>
        <v>20</v>
      </c>
      <c r="H23" s="8" t="n">
        <f aca="false">VLOOKUP(B23&amp;C23&amp;G23,cf!D:E,2,FALSE())</f>
        <v>1</v>
      </c>
      <c r="I23" s="45" t="n">
        <f aca="false">D23/H23</f>
        <v>19218796.01</v>
      </c>
    </row>
    <row r="24" customFormat="false" ht="12" hidden="false" customHeight="false" outlineLevel="0" collapsed="false">
      <c r="A24" s="5" t="n">
        <v>45443</v>
      </c>
      <c r="B24" s="2" t="s">
        <v>15</v>
      </c>
      <c r="C24" s="2" t="s">
        <v>53</v>
      </c>
      <c r="D24" s="93" t="n">
        <v>28828194.01</v>
      </c>
      <c r="E24" s="1" t="n">
        <f aca="false">YEAR(A24)</f>
        <v>2024</v>
      </c>
      <c r="F24" s="1" t="n">
        <f aca="false">MONTH(A24)</f>
        <v>5</v>
      </c>
      <c r="G24" s="1" t="n">
        <f aca="false">(YEAR(close_date)-YEAR(A24))*12+MONTH(close_date)-MONTH(A24)</f>
        <v>20</v>
      </c>
      <c r="H24" s="8" t="n">
        <f aca="false">VLOOKUP(B24&amp;C24&amp;G24,cf!D:E,2,FALSE())</f>
        <v>1</v>
      </c>
      <c r="I24" s="45" t="n">
        <f aca="false">D24/H24</f>
        <v>28828194.01</v>
      </c>
    </row>
    <row r="25" customFormat="false" ht="12" hidden="false" customHeight="false" outlineLevel="0" collapsed="false">
      <c r="A25" s="5" t="n">
        <v>45443</v>
      </c>
      <c r="B25" s="2" t="s">
        <v>90</v>
      </c>
      <c r="C25" s="2" t="s">
        <v>16</v>
      </c>
      <c r="D25" s="93" t="n">
        <v>13747495.9</v>
      </c>
      <c r="E25" s="1" t="n">
        <f aca="false">YEAR(A25)</f>
        <v>2024</v>
      </c>
      <c r="F25" s="1" t="n">
        <f aca="false">MONTH(A25)</f>
        <v>5</v>
      </c>
      <c r="G25" s="1" t="n">
        <f aca="false">(YEAR(close_date)-YEAR(A25))*12+MONTH(close_date)-MONTH(A25)</f>
        <v>20</v>
      </c>
      <c r="H25" s="8" t="n">
        <f aca="false">VLOOKUP(B25&amp;C25&amp;G25,cf!D:E,2,FALSE())</f>
        <v>1</v>
      </c>
      <c r="I25" s="45" t="n">
        <f aca="false">D25/H25</f>
        <v>13747495.9</v>
      </c>
    </row>
    <row r="26" customFormat="false" ht="12" hidden="false" customHeight="false" outlineLevel="0" collapsed="false">
      <c r="A26" s="5" t="n">
        <v>45443</v>
      </c>
      <c r="B26" s="2" t="s">
        <v>90</v>
      </c>
      <c r="C26" s="2" t="s">
        <v>53</v>
      </c>
      <c r="D26" s="93" t="n">
        <v>20621243.85</v>
      </c>
      <c r="E26" s="1" t="n">
        <f aca="false">YEAR(A26)</f>
        <v>2024</v>
      </c>
      <c r="F26" s="1" t="n">
        <f aca="false">MONTH(A26)</f>
        <v>5</v>
      </c>
      <c r="G26" s="1" t="n">
        <f aca="false">(YEAR(close_date)-YEAR(A26))*12+MONTH(close_date)-MONTH(A26)</f>
        <v>20</v>
      </c>
      <c r="H26" s="8" t="n">
        <f aca="false">VLOOKUP(B26&amp;C26&amp;G26,cf!D:E,2,FALSE())</f>
        <v>1</v>
      </c>
      <c r="I26" s="45" t="n">
        <f aca="false">D26/H26</f>
        <v>20621243.85</v>
      </c>
    </row>
    <row r="27" customFormat="false" ht="12" hidden="false" customHeight="false" outlineLevel="0" collapsed="false">
      <c r="A27" s="5" t="n">
        <v>45473</v>
      </c>
      <c r="B27" s="2" t="s">
        <v>15</v>
      </c>
      <c r="C27" s="2" t="s">
        <v>16</v>
      </c>
      <c r="D27" s="93" t="n">
        <v>18616341.9</v>
      </c>
      <c r="E27" s="1" t="n">
        <f aca="false">YEAR(A27)</f>
        <v>2024</v>
      </c>
      <c r="F27" s="1" t="n">
        <f aca="false">MONTH(A27)</f>
        <v>6</v>
      </c>
      <c r="G27" s="1" t="n">
        <f aca="false">(YEAR(close_date)-YEAR(A27))*12+MONTH(close_date)-MONTH(A27)</f>
        <v>19</v>
      </c>
      <c r="H27" s="8" t="n">
        <f aca="false">VLOOKUP(B27&amp;C27&amp;G27,cf!D:E,2,FALSE())</f>
        <v>1</v>
      </c>
      <c r="I27" s="45" t="n">
        <f aca="false">D27/H27</f>
        <v>18616341.9</v>
      </c>
    </row>
    <row r="28" customFormat="false" ht="12" hidden="false" customHeight="false" outlineLevel="0" collapsed="false">
      <c r="A28" s="5" t="n">
        <v>45473</v>
      </c>
      <c r="B28" s="2" t="s">
        <v>15</v>
      </c>
      <c r="C28" s="2" t="s">
        <v>53</v>
      </c>
      <c r="D28" s="93" t="n">
        <v>27924512.84</v>
      </c>
      <c r="E28" s="1" t="n">
        <f aca="false">YEAR(A28)</f>
        <v>2024</v>
      </c>
      <c r="F28" s="1" t="n">
        <f aca="false">MONTH(A28)</f>
        <v>6</v>
      </c>
      <c r="G28" s="1" t="n">
        <f aca="false">(YEAR(close_date)-YEAR(A28))*12+MONTH(close_date)-MONTH(A28)</f>
        <v>19</v>
      </c>
      <c r="H28" s="8" t="n">
        <f aca="false">VLOOKUP(B28&amp;C28&amp;G28,cf!D:E,2,FALSE())</f>
        <v>1</v>
      </c>
      <c r="I28" s="45" t="n">
        <f aca="false">D28/H28</f>
        <v>27924512.84</v>
      </c>
    </row>
    <row r="29" customFormat="false" ht="12" hidden="false" customHeight="false" outlineLevel="0" collapsed="false">
      <c r="A29" s="5" t="n">
        <v>45473</v>
      </c>
      <c r="B29" s="2" t="s">
        <v>90</v>
      </c>
      <c r="C29" s="2" t="s">
        <v>16</v>
      </c>
      <c r="D29" s="93" t="n">
        <v>13316305.87</v>
      </c>
      <c r="E29" s="1" t="n">
        <f aca="false">YEAR(A29)</f>
        <v>2024</v>
      </c>
      <c r="F29" s="1" t="n">
        <f aca="false">MONTH(A29)</f>
        <v>6</v>
      </c>
      <c r="G29" s="1" t="n">
        <f aca="false">(YEAR(close_date)-YEAR(A29))*12+MONTH(close_date)-MONTH(A29)</f>
        <v>19</v>
      </c>
      <c r="H29" s="8" t="n">
        <f aca="false">VLOOKUP(B29&amp;C29&amp;G29,cf!D:E,2,FALSE())</f>
        <v>1</v>
      </c>
      <c r="I29" s="45" t="n">
        <f aca="false">D29/H29</f>
        <v>13316305.87</v>
      </c>
    </row>
    <row r="30" customFormat="false" ht="12" hidden="false" customHeight="false" outlineLevel="0" collapsed="false">
      <c r="A30" s="5" t="n">
        <v>45473</v>
      </c>
      <c r="B30" s="2" t="s">
        <v>90</v>
      </c>
      <c r="C30" s="2" t="s">
        <v>53</v>
      </c>
      <c r="D30" s="93" t="n">
        <v>19974458.81</v>
      </c>
      <c r="E30" s="1" t="n">
        <f aca="false">YEAR(A30)</f>
        <v>2024</v>
      </c>
      <c r="F30" s="1" t="n">
        <f aca="false">MONTH(A30)</f>
        <v>6</v>
      </c>
      <c r="G30" s="1" t="n">
        <f aca="false">(YEAR(close_date)-YEAR(A30))*12+MONTH(close_date)-MONTH(A30)</f>
        <v>19</v>
      </c>
      <c r="H30" s="8" t="n">
        <f aca="false">VLOOKUP(B30&amp;C30&amp;G30,cf!D:E,2,FALSE())</f>
        <v>1</v>
      </c>
      <c r="I30" s="45" t="n">
        <f aca="false">D30/H30</f>
        <v>19974458.81</v>
      </c>
    </row>
    <row r="31" customFormat="false" ht="12" hidden="false" customHeight="false" outlineLevel="0" collapsed="false">
      <c r="A31" s="5" t="n">
        <v>45504</v>
      </c>
      <c r="B31" s="2" t="s">
        <v>15</v>
      </c>
      <c r="C31" s="2" t="s">
        <v>16</v>
      </c>
      <c r="D31" s="93" t="n">
        <v>18355519.35</v>
      </c>
      <c r="E31" s="1" t="n">
        <f aca="false">YEAR(A31)</f>
        <v>2024</v>
      </c>
      <c r="F31" s="1" t="n">
        <f aca="false">MONTH(A31)</f>
        <v>7</v>
      </c>
      <c r="G31" s="1" t="n">
        <f aca="false">(YEAR(close_date)-YEAR(A31))*12+MONTH(close_date)-MONTH(A31)</f>
        <v>18</v>
      </c>
      <c r="H31" s="8" t="n">
        <f aca="false">VLOOKUP(B31&amp;C31&amp;G31,cf!D:E,2,FALSE())</f>
        <v>1</v>
      </c>
      <c r="I31" s="45" t="n">
        <f aca="false">D31/H31</f>
        <v>18355519.35</v>
      </c>
    </row>
    <row r="32" customFormat="false" ht="12" hidden="false" customHeight="false" outlineLevel="0" collapsed="false">
      <c r="A32" s="5" t="n">
        <v>45504</v>
      </c>
      <c r="B32" s="2" t="s">
        <v>15</v>
      </c>
      <c r="C32" s="2" t="s">
        <v>53</v>
      </c>
      <c r="D32" s="93" t="n">
        <v>27533279.03</v>
      </c>
      <c r="E32" s="1" t="n">
        <f aca="false">YEAR(A32)</f>
        <v>2024</v>
      </c>
      <c r="F32" s="1" t="n">
        <f aca="false">MONTH(A32)</f>
        <v>7</v>
      </c>
      <c r="G32" s="1" t="n">
        <f aca="false">(YEAR(close_date)-YEAR(A32))*12+MONTH(close_date)-MONTH(A32)</f>
        <v>18</v>
      </c>
      <c r="H32" s="8" t="n">
        <f aca="false">VLOOKUP(B32&amp;C32&amp;G32,cf!D:E,2,FALSE())</f>
        <v>1</v>
      </c>
      <c r="I32" s="45" t="n">
        <f aca="false">D32/H32</f>
        <v>27533279.03</v>
      </c>
    </row>
    <row r="33" customFormat="false" ht="12" hidden="false" customHeight="false" outlineLevel="0" collapsed="false">
      <c r="A33" s="5" t="n">
        <v>45504</v>
      </c>
      <c r="B33" s="2" t="s">
        <v>90</v>
      </c>
      <c r="C33" s="2" t="s">
        <v>16</v>
      </c>
      <c r="D33" s="93" t="n">
        <v>13129939.76</v>
      </c>
      <c r="E33" s="1" t="n">
        <f aca="false">YEAR(A33)</f>
        <v>2024</v>
      </c>
      <c r="F33" s="1" t="n">
        <f aca="false">MONTH(A33)</f>
        <v>7</v>
      </c>
      <c r="G33" s="1" t="n">
        <f aca="false">(YEAR(close_date)-YEAR(A33))*12+MONTH(close_date)-MONTH(A33)</f>
        <v>18</v>
      </c>
      <c r="H33" s="8" t="n">
        <f aca="false">VLOOKUP(B33&amp;C33&amp;G33,cf!D:E,2,FALSE())</f>
        <v>1</v>
      </c>
      <c r="I33" s="45" t="n">
        <f aca="false">D33/H33</f>
        <v>13129939.76</v>
      </c>
    </row>
    <row r="34" customFormat="false" ht="12" hidden="false" customHeight="false" outlineLevel="0" collapsed="false">
      <c r="A34" s="5" t="n">
        <v>45504</v>
      </c>
      <c r="B34" s="2" t="s">
        <v>90</v>
      </c>
      <c r="C34" s="2" t="s">
        <v>53</v>
      </c>
      <c r="D34" s="93" t="n">
        <v>19694909.64</v>
      </c>
      <c r="E34" s="1" t="n">
        <f aca="false">YEAR(A34)</f>
        <v>2024</v>
      </c>
      <c r="F34" s="1" t="n">
        <f aca="false">MONTH(A34)</f>
        <v>7</v>
      </c>
      <c r="G34" s="1" t="n">
        <f aca="false">(YEAR(close_date)-YEAR(A34))*12+MONTH(close_date)-MONTH(A34)</f>
        <v>18</v>
      </c>
      <c r="H34" s="8" t="n">
        <f aca="false">VLOOKUP(B34&amp;C34&amp;G34,cf!D:E,2,FALSE())</f>
        <v>1</v>
      </c>
      <c r="I34" s="45" t="n">
        <f aca="false">D34/H34</f>
        <v>19694909.64</v>
      </c>
    </row>
    <row r="35" customFormat="false" ht="12" hidden="false" customHeight="false" outlineLevel="0" collapsed="false">
      <c r="A35" s="5" t="n">
        <v>45535</v>
      </c>
      <c r="B35" s="2" t="s">
        <v>15</v>
      </c>
      <c r="C35" s="2" t="s">
        <v>16</v>
      </c>
      <c r="D35" s="93" t="n">
        <v>18184415.15</v>
      </c>
      <c r="E35" s="1" t="n">
        <f aca="false">YEAR(A35)</f>
        <v>2024</v>
      </c>
      <c r="F35" s="1" t="n">
        <f aca="false">MONTH(A35)</f>
        <v>8</v>
      </c>
      <c r="G35" s="1" t="n">
        <f aca="false">(YEAR(close_date)-YEAR(A35))*12+MONTH(close_date)-MONTH(A35)</f>
        <v>17</v>
      </c>
      <c r="H35" s="8" t="n">
        <f aca="false">VLOOKUP(B35&amp;C35&amp;G35,cf!D:E,2,FALSE())</f>
        <v>1</v>
      </c>
      <c r="I35" s="45" t="n">
        <f aca="false">D35/H35</f>
        <v>18184415.15</v>
      </c>
    </row>
    <row r="36" customFormat="false" ht="12" hidden="false" customHeight="false" outlineLevel="0" collapsed="false">
      <c r="A36" s="5" t="n">
        <v>45535</v>
      </c>
      <c r="B36" s="2" t="s">
        <v>15</v>
      </c>
      <c r="C36" s="2" t="s">
        <v>53</v>
      </c>
      <c r="D36" s="93" t="n">
        <v>27276622.73</v>
      </c>
      <c r="E36" s="1" t="n">
        <f aca="false">YEAR(A36)</f>
        <v>2024</v>
      </c>
      <c r="F36" s="1" t="n">
        <f aca="false">MONTH(A36)</f>
        <v>8</v>
      </c>
      <c r="G36" s="1" t="n">
        <f aca="false">(YEAR(close_date)-YEAR(A36))*12+MONTH(close_date)-MONTH(A36)</f>
        <v>17</v>
      </c>
      <c r="H36" s="8" t="n">
        <f aca="false">VLOOKUP(B36&amp;C36&amp;G36,cf!D:E,2,FALSE())</f>
        <v>1</v>
      </c>
      <c r="I36" s="45" t="n">
        <f aca="false">D36/H36</f>
        <v>27276622.73</v>
      </c>
    </row>
    <row r="37" customFormat="false" ht="12" hidden="false" customHeight="false" outlineLevel="0" collapsed="false">
      <c r="A37" s="5" t="n">
        <v>45535</v>
      </c>
      <c r="B37" s="2" t="s">
        <v>90</v>
      </c>
      <c r="C37" s="2" t="s">
        <v>16</v>
      </c>
      <c r="D37" s="93" t="n">
        <v>13007637.52</v>
      </c>
      <c r="E37" s="1" t="n">
        <f aca="false">YEAR(A37)</f>
        <v>2024</v>
      </c>
      <c r="F37" s="1" t="n">
        <f aca="false">MONTH(A37)</f>
        <v>8</v>
      </c>
      <c r="G37" s="1" t="n">
        <f aca="false">(YEAR(close_date)-YEAR(A37))*12+MONTH(close_date)-MONTH(A37)</f>
        <v>17</v>
      </c>
      <c r="H37" s="8" t="n">
        <f aca="false">VLOOKUP(B37&amp;C37&amp;G37,cf!D:E,2,FALSE())</f>
        <v>1</v>
      </c>
      <c r="I37" s="45" t="n">
        <f aca="false">D37/H37</f>
        <v>13007637.52</v>
      </c>
    </row>
    <row r="38" customFormat="false" ht="12" hidden="false" customHeight="false" outlineLevel="0" collapsed="false">
      <c r="A38" s="5" t="n">
        <v>45535</v>
      </c>
      <c r="B38" s="2" t="s">
        <v>90</v>
      </c>
      <c r="C38" s="2" t="s">
        <v>53</v>
      </c>
      <c r="D38" s="93" t="n">
        <v>19511456.28</v>
      </c>
      <c r="E38" s="1" t="n">
        <f aca="false">YEAR(A38)</f>
        <v>2024</v>
      </c>
      <c r="F38" s="1" t="n">
        <f aca="false">MONTH(A38)</f>
        <v>8</v>
      </c>
      <c r="G38" s="1" t="n">
        <f aca="false">(YEAR(close_date)-YEAR(A38))*12+MONTH(close_date)-MONTH(A38)</f>
        <v>17</v>
      </c>
      <c r="H38" s="8" t="n">
        <f aca="false">VLOOKUP(B38&amp;C38&amp;G38,cf!D:E,2,FALSE())</f>
        <v>1</v>
      </c>
      <c r="I38" s="45" t="n">
        <f aca="false">D38/H38</f>
        <v>19511456.28</v>
      </c>
    </row>
    <row r="39" customFormat="false" ht="12" hidden="false" customHeight="false" outlineLevel="0" collapsed="false">
      <c r="A39" s="5" t="n">
        <v>45565</v>
      </c>
      <c r="B39" s="2" t="s">
        <v>15</v>
      </c>
      <c r="C39" s="2" t="s">
        <v>16</v>
      </c>
      <c r="D39" s="93" t="n">
        <v>19367729.43</v>
      </c>
      <c r="E39" s="1" t="n">
        <f aca="false">YEAR(A39)</f>
        <v>2024</v>
      </c>
      <c r="F39" s="1" t="n">
        <f aca="false">MONTH(A39)</f>
        <v>9</v>
      </c>
      <c r="G39" s="1" t="n">
        <f aca="false">(YEAR(close_date)-YEAR(A39))*12+MONTH(close_date)-MONTH(A39)</f>
        <v>16</v>
      </c>
      <c r="H39" s="8" t="n">
        <f aca="false">VLOOKUP(B39&amp;C39&amp;G39,cf!D:E,2,FALSE())</f>
        <v>1</v>
      </c>
      <c r="I39" s="45" t="n">
        <f aca="false">D39/H39</f>
        <v>19367729.43</v>
      </c>
    </row>
    <row r="40" customFormat="false" ht="12" hidden="false" customHeight="false" outlineLevel="0" collapsed="false">
      <c r="A40" s="5" t="n">
        <v>45565</v>
      </c>
      <c r="B40" s="2" t="s">
        <v>15</v>
      </c>
      <c r="C40" s="2" t="s">
        <v>53</v>
      </c>
      <c r="D40" s="93" t="n">
        <v>29051594.14</v>
      </c>
      <c r="E40" s="1" t="n">
        <f aca="false">YEAR(A40)</f>
        <v>2024</v>
      </c>
      <c r="F40" s="1" t="n">
        <f aca="false">MONTH(A40)</f>
        <v>9</v>
      </c>
      <c r="G40" s="1" t="n">
        <f aca="false">(YEAR(close_date)-YEAR(A40))*12+MONTH(close_date)-MONTH(A40)</f>
        <v>16</v>
      </c>
      <c r="H40" s="8" t="n">
        <f aca="false">VLOOKUP(B40&amp;C40&amp;G40,cf!D:E,2,FALSE())</f>
        <v>1</v>
      </c>
      <c r="I40" s="45" t="n">
        <f aca="false">D40/H40</f>
        <v>29051594.14</v>
      </c>
    </row>
    <row r="41" customFormat="false" ht="12" hidden="false" customHeight="false" outlineLevel="0" collapsed="false">
      <c r="A41" s="5" t="n">
        <v>45565</v>
      </c>
      <c r="B41" s="2" t="s">
        <v>90</v>
      </c>
      <c r="C41" s="2" t="s">
        <v>16</v>
      </c>
      <c r="D41" s="93" t="n">
        <v>13853877.61</v>
      </c>
      <c r="E41" s="1" t="n">
        <f aca="false">YEAR(A41)</f>
        <v>2024</v>
      </c>
      <c r="F41" s="1" t="n">
        <f aca="false">MONTH(A41)</f>
        <v>9</v>
      </c>
      <c r="G41" s="1" t="n">
        <f aca="false">(YEAR(close_date)-YEAR(A41))*12+MONTH(close_date)-MONTH(A41)</f>
        <v>16</v>
      </c>
      <c r="H41" s="8" t="n">
        <f aca="false">VLOOKUP(B41&amp;C41&amp;G41,cf!D:E,2,FALSE())</f>
        <v>1</v>
      </c>
      <c r="I41" s="45" t="n">
        <f aca="false">D41/H41</f>
        <v>13853877.61</v>
      </c>
    </row>
    <row r="42" customFormat="false" ht="12" hidden="false" customHeight="false" outlineLevel="0" collapsed="false">
      <c r="A42" s="5" t="n">
        <v>45565</v>
      </c>
      <c r="B42" s="2" t="s">
        <v>90</v>
      </c>
      <c r="C42" s="2" t="s">
        <v>53</v>
      </c>
      <c r="D42" s="93" t="n">
        <v>20780816.42</v>
      </c>
      <c r="E42" s="1" t="n">
        <f aca="false">YEAR(A42)</f>
        <v>2024</v>
      </c>
      <c r="F42" s="1" t="n">
        <f aca="false">MONTH(A42)</f>
        <v>9</v>
      </c>
      <c r="G42" s="1" t="n">
        <f aca="false">(YEAR(close_date)-YEAR(A42))*12+MONTH(close_date)-MONTH(A42)</f>
        <v>16</v>
      </c>
      <c r="H42" s="8" t="n">
        <f aca="false">VLOOKUP(B42&amp;C42&amp;G42,cf!D:E,2,FALSE())</f>
        <v>1</v>
      </c>
      <c r="I42" s="45" t="n">
        <f aca="false">D42/H42</f>
        <v>20780816.42</v>
      </c>
    </row>
    <row r="43" customFormat="false" ht="12" hidden="false" customHeight="false" outlineLevel="0" collapsed="false">
      <c r="A43" s="5" t="n">
        <v>45596</v>
      </c>
      <c r="B43" s="2" t="s">
        <v>15</v>
      </c>
      <c r="C43" s="2" t="s">
        <v>16</v>
      </c>
      <c r="D43" s="93" t="n">
        <v>19743787.57</v>
      </c>
      <c r="E43" s="1" t="n">
        <f aca="false">YEAR(A43)</f>
        <v>2024</v>
      </c>
      <c r="F43" s="1" t="n">
        <f aca="false">MONTH(A43)</f>
        <v>10</v>
      </c>
      <c r="G43" s="1" t="n">
        <f aca="false">(YEAR(close_date)-YEAR(A43))*12+MONTH(close_date)-MONTH(A43)</f>
        <v>15</v>
      </c>
      <c r="H43" s="8" t="n">
        <f aca="false">VLOOKUP(B43&amp;C43&amp;G43,cf!D:E,2,FALSE())</f>
        <v>1</v>
      </c>
      <c r="I43" s="45" t="n">
        <f aca="false">D43/H43</f>
        <v>19743787.57</v>
      </c>
    </row>
    <row r="44" customFormat="false" ht="12" hidden="false" customHeight="false" outlineLevel="0" collapsed="false">
      <c r="A44" s="5" t="n">
        <v>45596</v>
      </c>
      <c r="B44" s="2" t="s">
        <v>15</v>
      </c>
      <c r="C44" s="2" t="s">
        <v>53</v>
      </c>
      <c r="D44" s="93" t="n">
        <v>29615681.36</v>
      </c>
      <c r="E44" s="1" t="n">
        <f aca="false">YEAR(A44)</f>
        <v>2024</v>
      </c>
      <c r="F44" s="1" t="n">
        <f aca="false">MONTH(A44)</f>
        <v>10</v>
      </c>
      <c r="G44" s="1" t="n">
        <f aca="false">(YEAR(close_date)-YEAR(A44))*12+MONTH(close_date)-MONTH(A44)</f>
        <v>15</v>
      </c>
      <c r="H44" s="8" t="n">
        <f aca="false">VLOOKUP(B44&amp;C44&amp;G44,cf!D:E,2,FALSE())</f>
        <v>1</v>
      </c>
      <c r="I44" s="45" t="n">
        <f aca="false">D44/H44</f>
        <v>29615681.36</v>
      </c>
    </row>
    <row r="45" customFormat="false" ht="12" hidden="false" customHeight="false" outlineLevel="0" collapsed="false">
      <c r="A45" s="5" t="n">
        <v>45596</v>
      </c>
      <c r="B45" s="2" t="s">
        <v>90</v>
      </c>
      <c r="C45" s="2" t="s">
        <v>16</v>
      </c>
      <c r="D45" s="93" t="n">
        <v>14122961.1</v>
      </c>
      <c r="E45" s="1" t="n">
        <f aca="false">YEAR(A45)</f>
        <v>2024</v>
      </c>
      <c r="F45" s="1" t="n">
        <f aca="false">MONTH(A45)</f>
        <v>10</v>
      </c>
      <c r="G45" s="1" t="n">
        <f aca="false">(YEAR(close_date)-YEAR(A45))*12+MONTH(close_date)-MONTH(A45)</f>
        <v>15</v>
      </c>
      <c r="H45" s="8" t="n">
        <f aca="false">VLOOKUP(B45&amp;C45&amp;G45,cf!D:E,2,FALSE())</f>
        <v>1</v>
      </c>
      <c r="I45" s="45" t="n">
        <f aca="false">D45/H45</f>
        <v>14122961.1</v>
      </c>
    </row>
    <row r="46" customFormat="false" ht="12" hidden="false" customHeight="false" outlineLevel="0" collapsed="false">
      <c r="A46" s="5" t="n">
        <v>45596</v>
      </c>
      <c r="B46" s="2" t="s">
        <v>90</v>
      </c>
      <c r="C46" s="2" t="s">
        <v>53</v>
      </c>
      <c r="D46" s="93" t="n">
        <v>21184441.65</v>
      </c>
      <c r="E46" s="1" t="n">
        <f aca="false">YEAR(A46)</f>
        <v>2024</v>
      </c>
      <c r="F46" s="1" t="n">
        <f aca="false">MONTH(A46)</f>
        <v>10</v>
      </c>
      <c r="G46" s="1" t="n">
        <f aca="false">(YEAR(close_date)-YEAR(A46))*12+MONTH(close_date)-MONTH(A46)</f>
        <v>15</v>
      </c>
      <c r="H46" s="8" t="n">
        <f aca="false">VLOOKUP(B46&amp;C46&amp;G46,cf!D:E,2,FALSE())</f>
        <v>1</v>
      </c>
      <c r="I46" s="45" t="n">
        <f aca="false">D46/H46</f>
        <v>21184441.65</v>
      </c>
    </row>
    <row r="47" customFormat="false" ht="12" hidden="false" customHeight="false" outlineLevel="0" collapsed="false">
      <c r="A47" s="5" t="n">
        <v>45626</v>
      </c>
      <c r="B47" s="2" t="s">
        <v>15</v>
      </c>
      <c r="C47" s="2" t="s">
        <v>16</v>
      </c>
      <c r="D47" s="93" t="n">
        <v>21572805.55</v>
      </c>
      <c r="E47" s="1" t="n">
        <f aca="false">YEAR(A47)</f>
        <v>2024</v>
      </c>
      <c r="F47" s="1" t="n">
        <f aca="false">MONTH(A47)</f>
        <v>11</v>
      </c>
      <c r="G47" s="1" t="n">
        <f aca="false">(YEAR(close_date)-YEAR(A47))*12+MONTH(close_date)-MONTH(A47)</f>
        <v>14</v>
      </c>
      <c r="H47" s="8" t="n">
        <f aca="false">VLOOKUP(B47&amp;C47&amp;G47,cf!D:E,2,FALSE())</f>
        <v>1</v>
      </c>
      <c r="I47" s="45" t="n">
        <f aca="false">D47/H47</f>
        <v>21572805.55</v>
      </c>
    </row>
    <row r="48" customFormat="false" ht="12" hidden="false" customHeight="false" outlineLevel="0" collapsed="false">
      <c r="A48" s="5" t="n">
        <v>45626</v>
      </c>
      <c r="B48" s="2" t="s">
        <v>15</v>
      </c>
      <c r="C48" s="2" t="s">
        <v>53</v>
      </c>
      <c r="D48" s="93" t="n">
        <v>32359208.32</v>
      </c>
      <c r="E48" s="1" t="n">
        <f aca="false">YEAR(A48)</f>
        <v>2024</v>
      </c>
      <c r="F48" s="1" t="n">
        <f aca="false">MONTH(A48)</f>
        <v>11</v>
      </c>
      <c r="G48" s="1" t="n">
        <f aca="false">(YEAR(close_date)-YEAR(A48))*12+MONTH(close_date)-MONTH(A48)</f>
        <v>14</v>
      </c>
      <c r="H48" s="8" t="n">
        <f aca="false">VLOOKUP(B48&amp;C48&amp;G48,cf!D:E,2,FALSE())</f>
        <v>1</v>
      </c>
      <c r="I48" s="45" t="n">
        <f aca="false">D48/H48</f>
        <v>32359208.32</v>
      </c>
    </row>
    <row r="49" customFormat="false" ht="12" hidden="false" customHeight="false" outlineLevel="0" collapsed="false">
      <c r="A49" s="5" t="n">
        <v>45626</v>
      </c>
      <c r="B49" s="2" t="s">
        <v>90</v>
      </c>
      <c r="C49" s="2" t="s">
        <v>16</v>
      </c>
      <c r="D49" s="93" t="n">
        <v>15431137.55</v>
      </c>
      <c r="E49" s="1" t="n">
        <f aca="false">YEAR(A49)</f>
        <v>2024</v>
      </c>
      <c r="F49" s="1" t="n">
        <f aca="false">MONTH(A49)</f>
        <v>11</v>
      </c>
      <c r="G49" s="1" t="n">
        <f aca="false">(YEAR(close_date)-YEAR(A49))*12+MONTH(close_date)-MONTH(A49)</f>
        <v>14</v>
      </c>
      <c r="H49" s="8" t="n">
        <f aca="false">VLOOKUP(B49&amp;C49&amp;G49,cf!D:E,2,FALSE())</f>
        <v>1</v>
      </c>
      <c r="I49" s="45" t="n">
        <f aca="false">D49/H49</f>
        <v>15431137.55</v>
      </c>
    </row>
    <row r="50" customFormat="false" ht="12" hidden="false" customHeight="false" outlineLevel="0" collapsed="false">
      <c r="A50" s="5" t="n">
        <v>45626</v>
      </c>
      <c r="B50" s="2" t="s">
        <v>90</v>
      </c>
      <c r="C50" s="2" t="s">
        <v>53</v>
      </c>
      <c r="D50" s="93" t="n">
        <v>23146706.33</v>
      </c>
      <c r="E50" s="1" t="n">
        <f aca="false">YEAR(A50)</f>
        <v>2024</v>
      </c>
      <c r="F50" s="1" t="n">
        <f aca="false">MONTH(A50)</f>
        <v>11</v>
      </c>
      <c r="G50" s="1" t="n">
        <f aca="false">(YEAR(close_date)-YEAR(A50))*12+MONTH(close_date)-MONTH(A50)</f>
        <v>14</v>
      </c>
      <c r="H50" s="8" t="n">
        <f aca="false">VLOOKUP(B50&amp;C50&amp;G50,cf!D:E,2,FALSE())</f>
        <v>1</v>
      </c>
      <c r="I50" s="45" t="n">
        <f aca="false">D50/H50</f>
        <v>23146706.33</v>
      </c>
    </row>
    <row r="51" customFormat="false" ht="12" hidden="false" customHeight="false" outlineLevel="0" collapsed="false">
      <c r="A51" s="5" t="n">
        <v>45657</v>
      </c>
      <c r="B51" s="2" t="s">
        <v>15</v>
      </c>
      <c r="C51" s="2" t="s">
        <v>16</v>
      </c>
      <c r="D51" s="93" t="n">
        <v>21951078.76</v>
      </c>
      <c r="E51" s="1" t="n">
        <f aca="false">YEAR(A51)</f>
        <v>2024</v>
      </c>
      <c r="F51" s="1" t="n">
        <f aca="false">MONTH(A51)</f>
        <v>12</v>
      </c>
      <c r="G51" s="1" t="n">
        <f aca="false">(YEAR(close_date)-YEAR(A51))*12+MONTH(close_date)-MONTH(A51)</f>
        <v>13</v>
      </c>
      <c r="H51" s="8" t="n">
        <f aca="false">VLOOKUP(B51&amp;C51&amp;G51,cf!D:E,2,FALSE())</f>
        <v>1</v>
      </c>
      <c r="I51" s="45" t="n">
        <f aca="false">D51/H51</f>
        <v>21951078.76</v>
      </c>
    </row>
    <row r="52" customFormat="false" ht="12" hidden="false" customHeight="false" outlineLevel="0" collapsed="false">
      <c r="A52" s="5" t="n">
        <v>45657</v>
      </c>
      <c r="B52" s="2" t="s">
        <v>15</v>
      </c>
      <c r="C52" s="2" t="s">
        <v>53</v>
      </c>
      <c r="D52" s="93" t="n">
        <v>32926618.14</v>
      </c>
      <c r="E52" s="1" t="n">
        <f aca="false">YEAR(A52)</f>
        <v>2024</v>
      </c>
      <c r="F52" s="1" t="n">
        <f aca="false">MONTH(A52)</f>
        <v>12</v>
      </c>
      <c r="G52" s="1" t="n">
        <f aca="false">(YEAR(close_date)-YEAR(A52))*12+MONTH(close_date)-MONTH(A52)</f>
        <v>13</v>
      </c>
      <c r="H52" s="8" t="n">
        <f aca="false">VLOOKUP(B52&amp;C52&amp;G52,cf!D:E,2,FALSE())</f>
        <v>1</v>
      </c>
      <c r="I52" s="45" t="n">
        <f aca="false">D52/H52</f>
        <v>32926618.14</v>
      </c>
    </row>
    <row r="53" customFormat="false" ht="12" hidden="false" customHeight="false" outlineLevel="0" collapsed="false">
      <c r="A53" s="5" t="n">
        <v>45657</v>
      </c>
      <c r="B53" s="2" t="s">
        <v>90</v>
      </c>
      <c r="C53" s="2" t="s">
        <v>16</v>
      </c>
      <c r="D53" s="93" t="n">
        <v>15701581.01</v>
      </c>
      <c r="E53" s="1" t="n">
        <f aca="false">YEAR(A53)</f>
        <v>2024</v>
      </c>
      <c r="F53" s="1" t="n">
        <f aca="false">MONTH(A53)</f>
        <v>12</v>
      </c>
      <c r="G53" s="1" t="n">
        <f aca="false">(YEAR(close_date)-YEAR(A53))*12+MONTH(close_date)-MONTH(A53)</f>
        <v>13</v>
      </c>
      <c r="H53" s="8" t="n">
        <f aca="false">VLOOKUP(B53&amp;C53&amp;G53,cf!D:E,2,FALSE())</f>
        <v>1</v>
      </c>
      <c r="I53" s="45" t="n">
        <f aca="false">D53/H53</f>
        <v>15701581.01</v>
      </c>
    </row>
    <row r="54" customFormat="false" ht="12" hidden="false" customHeight="false" outlineLevel="0" collapsed="false">
      <c r="A54" s="5" t="n">
        <v>45657</v>
      </c>
      <c r="B54" s="2" t="s">
        <v>90</v>
      </c>
      <c r="C54" s="2" t="s">
        <v>53</v>
      </c>
      <c r="D54" s="93" t="n">
        <v>23552371.52</v>
      </c>
      <c r="E54" s="1" t="n">
        <f aca="false">YEAR(A54)</f>
        <v>2024</v>
      </c>
      <c r="F54" s="1" t="n">
        <f aca="false">MONTH(A54)</f>
        <v>12</v>
      </c>
      <c r="G54" s="1" t="n">
        <f aca="false">(YEAR(close_date)-YEAR(A54))*12+MONTH(close_date)-MONTH(A54)</f>
        <v>13</v>
      </c>
      <c r="H54" s="8" t="n">
        <f aca="false">VLOOKUP(B54&amp;C54&amp;G54,cf!D:E,2,FALSE())</f>
        <v>1</v>
      </c>
      <c r="I54" s="45" t="n">
        <f aca="false">D54/H54</f>
        <v>23552371.52</v>
      </c>
    </row>
    <row r="55" customFormat="false" ht="12" hidden="false" customHeight="false" outlineLevel="0" collapsed="false">
      <c r="A55" s="5" t="n">
        <v>45688</v>
      </c>
      <c r="B55" s="2" t="s">
        <v>15</v>
      </c>
      <c r="C55" s="2" t="s">
        <v>16</v>
      </c>
      <c r="D55" s="93" t="n">
        <v>21766028.11</v>
      </c>
      <c r="E55" s="1" t="n">
        <f aca="false">YEAR(A55)</f>
        <v>2025</v>
      </c>
      <c r="F55" s="1" t="n">
        <f aca="false">MONTH(A55)</f>
        <v>1</v>
      </c>
      <c r="G55" s="1" t="n">
        <f aca="false">(YEAR(close_date)-YEAR(A55))*12+MONTH(close_date)-MONTH(A55)</f>
        <v>12</v>
      </c>
      <c r="H55" s="8" t="n">
        <f aca="false">VLOOKUP(B55&amp;C55&amp;G55,cf!D:E,2,FALSE())</f>
        <v>1</v>
      </c>
      <c r="I55" s="45" t="n">
        <f aca="false">D55/H55</f>
        <v>21766028.11</v>
      </c>
    </row>
    <row r="56" customFormat="false" ht="12" hidden="false" customHeight="false" outlineLevel="0" collapsed="false">
      <c r="A56" s="5" t="n">
        <v>45688</v>
      </c>
      <c r="B56" s="2" t="s">
        <v>15</v>
      </c>
      <c r="C56" s="2" t="s">
        <v>53</v>
      </c>
      <c r="D56" s="93" t="n">
        <v>32649042.17</v>
      </c>
      <c r="E56" s="1" t="n">
        <f aca="false">YEAR(A56)</f>
        <v>2025</v>
      </c>
      <c r="F56" s="1" t="n">
        <f aca="false">MONTH(A56)</f>
        <v>1</v>
      </c>
      <c r="G56" s="1" t="n">
        <f aca="false">(YEAR(close_date)-YEAR(A56))*12+MONTH(close_date)-MONTH(A56)</f>
        <v>12</v>
      </c>
      <c r="H56" s="8" t="n">
        <f aca="false">VLOOKUP(B56&amp;C56&amp;G56,cf!D:E,2,FALSE())</f>
        <v>1</v>
      </c>
      <c r="I56" s="45" t="n">
        <f aca="false">D56/H56</f>
        <v>32649042.17</v>
      </c>
    </row>
    <row r="57" customFormat="false" ht="12" hidden="false" customHeight="false" outlineLevel="0" collapsed="false">
      <c r="A57" s="5" t="n">
        <v>45688</v>
      </c>
      <c r="B57" s="2" t="s">
        <v>90</v>
      </c>
      <c r="C57" s="2" t="s">
        <v>16</v>
      </c>
      <c r="D57" s="93" t="n">
        <v>15569363.59</v>
      </c>
      <c r="E57" s="1" t="n">
        <f aca="false">YEAR(A57)</f>
        <v>2025</v>
      </c>
      <c r="F57" s="1" t="n">
        <f aca="false">MONTH(A57)</f>
        <v>1</v>
      </c>
      <c r="G57" s="1" t="n">
        <f aca="false">(YEAR(close_date)-YEAR(A57))*12+MONTH(close_date)-MONTH(A57)</f>
        <v>12</v>
      </c>
      <c r="H57" s="8" t="n">
        <f aca="false">VLOOKUP(B57&amp;C57&amp;G57,cf!D:E,2,FALSE())</f>
        <v>1</v>
      </c>
      <c r="I57" s="45" t="n">
        <f aca="false">D57/H57</f>
        <v>15569363.59</v>
      </c>
    </row>
    <row r="58" customFormat="false" ht="12" hidden="false" customHeight="false" outlineLevel="0" collapsed="false">
      <c r="A58" s="5" t="n">
        <v>45688</v>
      </c>
      <c r="B58" s="2" t="s">
        <v>90</v>
      </c>
      <c r="C58" s="2" t="s">
        <v>53</v>
      </c>
      <c r="D58" s="93" t="n">
        <v>23354045.38</v>
      </c>
      <c r="E58" s="1" t="n">
        <f aca="false">YEAR(A58)</f>
        <v>2025</v>
      </c>
      <c r="F58" s="1" t="n">
        <f aca="false">MONTH(A58)</f>
        <v>1</v>
      </c>
      <c r="G58" s="1" t="n">
        <f aca="false">(YEAR(close_date)-YEAR(A58))*12+MONTH(close_date)-MONTH(A58)</f>
        <v>12</v>
      </c>
      <c r="H58" s="8" t="n">
        <f aca="false">VLOOKUP(B58&amp;C58&amp;G58,cf!D:E,2,FALSE())</f>
        <v>1</v>
      </c>
      <c r="I58" s="45" t="n">
        <f aca="false">D58/H58</f>
        <v>23354045.38</v>
      </c>
    </row>
    <row r="59" customFormat="false" ht="12" hidden="false" customHeight="false" outlineLevel="0" collapsed="false">
      <c r="A59" s="5" t="n">
        <v>45716</v>
      </c>
      <c r="B59" s="2" t="s">
        <v>15</v>
      </c>
      <c r="C59" s="2" t="s">
        <v>16</v>
      </c>
      <c r="D59" s="93" t="n">
        <v>21905179.49</v>
      </c>
      <c r="E59" s="1" t="n">
        <f aca="false">YEAR(A59)</f>
        <v>2025</v>
      </c>
      <c r="F59" s="1" t="n">
        <f aca="false">MONTH(A59)</f>
        <v>2</v>
      </c>
      <c r="G59" s="1" t="n">
        <f aca="false">(YEAR(close_date)-YEAR(A59))*12+MONTH(close_date)-MONTH(A59)</f>
        <v>11</v>
      </c>
      <c r="H59" s="8" t="n">
        <f aca="false">VLOOKUP(B59&amp;C59&amp;G59,cf!D:E,2,FALSE())</f>
        <v>1</v>
      </c>
      <c r="I59" s="45" t="n">
        <f aca="false">D59/H59</f>
        <v>21905179.49</v>
      </c>
    </row>
    <row r="60" customFormat="false" ht="12" hidden="false" customHeight="false" outlineLevel="0" collapsed="false">
      <c r="A60" s="5" t="n">
        <v>45716</v>
      </c>
      <c r="B60" s="2" t="s">
        <v>15</v>
      </c>
      <c r="C60" s="2" t="s">
        <v>53</v>
      </c>
      <c r="D60" s="93" t="n">
        <v>32857769.24</v>
      </c>
      <c r="E60" s="1" t="n">
        <f aca="false">YEAR(A60)</f>
        <v>2025</v>
      </c>
      <c r="F60" s="1" t="n">
        <f aca="false">MONTH(A60)</f>
        <v>2</v>
      </c>
      <c r="G60" s="1" t="n">
        <f aca="false">(YEAR(close_date)-YEAR(A60))*12+MONTH(close_date)-MONTH(A60)</f>
        <v>11</v>
      </c>
      <c r="H60" s="8" t="n">
        <f aca="false">VLOOKUP(B60&amp;C60&amp;G60,cf!D:E,2,FALSE())</f>
        <v>1</v>
      </c>
      <c r="I60" s="45" t="n">
        <f aca="false">D60/H60</f>
        <v>32857769.24</v>
      </c>
    </row>
    <row r="61" customFormat="false" ht="12" hidden="false" customHeight="false" outlineLevel="0" collapsed="false">
      <c r="A61" s="5" t="n">
        <v>45716</v>
      </c>
      <c r="B61" s="2" t="s">
        <v>90</v>
      </c>
      <c r="C61" s="2" t="s">
        <v>16</v>
      </c>
      <c r="D61" s="93" t="n">
        <v>15669014.43</v>
      </c>
      <c r="E61" s="1" t="n">
        <f aca="false">YEAR(A61)</f>
        <v>2025</v>
      </c>
      <c r="F61" s="1" t="n">
        <f aca="false">MONTH(A61)</f>
        <v>2</v>
      </c>
      <c r="G61" s="1" t="n">
        <f aca="false">(YEAR(close_date)-YEAR(A61))*12+MONTH(close_date)-MONTH(A61)</f>
        <v>11</v>
      </c>
      <c r="H61" s="8" t="n">
        <f aca="false">VLOOKUP(B61&amp;C61&amp;G61,cf!D:E,2,FALSE())</f>
        <v>1</v>
      </c>
      <c r="I61" s="45" t="n">
        <f aca="false">D61/H61</f>
        <v>15669014.43</v>
      </c>
    </row>
    <row r="62" customFormat="false" ht="12" hidden="false" customHeight="false" outlineLevel="0" collapsed="false">
      <c r="A62" s="5" t="n">
        <v>45716</v>
      </c>
      <c r="B62" s="2" t="s">
        <v>90</v>
      </c>
      <c r="C62" s="2" t="s">
        <v>53</v>
      </c>
      <c r="D62" s="93" t="n">
        <v>23503521.64</v>
      </c>
      <c r="E62" s="1" t="n">
        <f aca="false">YEAR(A62)</f>
        <v>2025</v>
      </c>
      <c r="F62" s="1" t="n">
        <f aca="false">MONTH(A62)</f>
        <v>2</v>
      </c>
      <c r="G62" s="1" t="n">
        <f aca="false">(YEAR(close_date)-YEAR(A62))*12+MONTH(close_date)-MONTH(A62)</f>
        <v>11</v>
      </c>
      <c r="H62" s="8" t="n">
        <f aca="false">VLOOKUP(B62&amp;C62&amp;G62,cf!D:E,2,FALSE())</f>
        <v>1</v>
      </c>
      <c r="I62" s="45" t="n">
        <f aca="false">D62/H62</f>
        <v>23503521.64</v>
      </c>
    </row>
    <row r="63" customFormat="false" ht="12" hidden="false" customHeight="false" outlineLevel="0" collapsed="false">
      <c r="A63" s="5" t="n">
        <v>45747</v>
      </c>
      <c r="B63" s="2" t="s">
        <v>15</v>
      </c>
      <c r="C63" s="2" t="s">
        <v>16</v>
      </c>
      <c r="D63" s="93" t="n">
        <v>20967121.96</v>
      </c>
      <c r="E63" s="1" t="n">
        <f aca="false">YEAR(A63)</f>
        <v>2025</v>
      </c>
      <c r="F63" s="1" t="n">
        <f aca="false">MONTH(A63)</f>
        <v>3</v>
      </c>
      <c r="G63" s="1" t="n">
        <f aca="false">(YEAR(close_date)-YEAR(A63))*12+MONTH(close_date)-MONTH(A63)</f>
        <v>10</v>
      </c>
      <c r="H63" s="8" t="n">
        <f aca="false">VLOOKUP(B63&amp;C63&amp;G63,cf!D:E,2,FALSE())</f>
        <v>1</v>
      </c>
      <c r="I63" s="45" t="n">
        <f aca="false">D63/H63</f>
        <v>20967121.96</v>
      </c>
    </row>
    <row r="64" customFormat="false" ht="12" hidden="false" customHeight="false" outlineLevel="0" collapsed="false">
      <c r="A64" s="5" t="n">
        <v>45747</v>
      </c>
      <c r="B64" s="2" t="s">
        <v>15</v>
      </c>
      <c r="C64" s="2" t="s">
        <v>53</v>
      </c>
      <c r="D64" s="93" t="n">
        <v>31450682.94</v>
      </c>
      <c r="E64" s="1" t="n">
        <f aca="false">YEAR(A64)</f>
        <v>2025</v>
      </c>
      <c r="F64" s="1" t="n">
        <f aca="false">MONTH(A64)</f>
        <v>3</v>
      </c>
      <c r="G64" s="1" t="n">
        <f aca="false">(YEAR(close_date)-YEAR(A64))*12+MONTH(close_date)-MONTH(A64)</f>
        <v>10</v>
      </c>
      <c r="H64" s="8" t="n">
        <f aca="false">VLOOKUP(B64&amp;C64&amp;G64,cf!D:E,2,FALSE())</f>
        <v>1</v>
      </c>
      <c r="I64" s="45" t="n">
        <f aca="false">D64/H64</f>
        <v>31450682.94</v>
      </c>
    </row>
    <row r="65" customFormat="false" ht="12" hidden="false" customHeight="false" outlineLevel="0" collapsed="false">
      <c r="A65" s="5" t="n">
        <v>45747</v>
      </c>
      <c r="B65" s="2" t="s">
        <v>90</v>
      </c>
      <c r="C65" s="2" t="s">
        <v>16</v>
      </c>
      <c r="D65" s="93" t="n">
        <v>14997759.7</v>
      </c>
      <c r="E65" s="1" t="n">
        <f aca="false">YEAR(A65)</f>
        <v>2025</v>
      </c>
      <c r="F65" s="1" t="n">
        <f aca="false">MONTH(A65)</f>
        <v>3</v>
      </c>
      <c r="G65" s="1" t="n">
        <f aca="false">(YEAR(close_date)-YEAR(A65))*12+MONTH(close_date)-MONTH(A65)</f>
        <v>10</v>
      </c>
      <c r="H65" s="8" t="n">
        <f aca="false">VLOOKUP(B65&amp;C65&amp;G65,cf!D:E,2,FALSE())</f>
        <v>1</v>
      </c>
      <c r="I65" s="45" t="n">
        <f aca="false">D65/H65</f>
        <v>14997759.7</v>
      </c>
    </row>
    <row r="66" customFormat="false" ht="12" hidden="false" customHeight="false" outlineLevel="0" collapsed="false">
      <c r="A66" s="5" t="n">
        <v>45747</v>
      </c>
      <c r="B66" s="2" t="s">
        <v>90</v>
      </c>
      <c r="C66" s="2" t="s">
        <v>53</v>
      </c>
      <c r="D66" s="93" t="n">
        <v>22496639.55</v>
      </c>
      <c r="E66" s="1" t="n">
        <f aca="false">YEAR(A66)</f>
        <v>2025</v>
      </c>
      <c r="F66" s="1" t="n">
        <f aca="false">MONTH(A66)</f>
        <v>3</v>
      </c>
      <c r="G66" s="1" t="n">
        <f aca="false">(YEAR(close_date)-YEAR(A66))*12+MONTH(close_date)-MONTH(A66)</f>
        <v>10</v>
      </c>
      <c r="H66" s="8" t="n">
        <f aca="false">VLOOKUP(B66&amp;C66&amp;G66,cf!D:E,2,FALSE())</f>
        <v>1</v>
      </c>
      <c r="I66" s="45" t="n">
        <f aca="false">D66/H66</f>
        <v>22496639.55</v>
      </c>
    </row>
    <row r="67" customFormat="false" ht="12" hidden="false" customHeight="false" outlineLevel="0" collapsed="false">
      <c r="A67" s="5" t="n">
        <v>45777</v>
      </c>
      <c r="B67" s="2" t="s">
        <v>15</v>
      </c>
      <c r="C67" s="2" t="s">
        <v>16</v>
      </c>
      <c r="D67" s="93" t="n">
        <v>20404177.39</v>
      </c>
      <c r="E67" s="1" t="n">
        <f aca="false">YEAR(A67)</f>
        <v>2025</v>
      </c>
      <c r="F67" s="1" t="n">
        <f aca="false">MONTH(A67)</f>
        <v>4</v>
      </c>
      <c r="G67" s="1" t="n">
        <f aca="false">(YEAR(close_date)-YEAR(A67))*12+MONTH(close_date)-MONTH(A67)</f>
        <v>9</v>
      </c>
      <c r="H67" s="8" t="n">
        <f aca="false">VLOOKUP(B67&amp;C67&amp;G67,cf!D:E,2,FALSE())</f>
        <v>0.996032</v>
      </c>
      <c r="I67" s="45" t="n">
        <f aca="false">D67/H67</f>
        <v>20485463.7100013</v>
      </c>
    </row>
    <row r="68" customFormat="false" ht="12" hidden="false" customHeight="false" outlineLevel="0" collapsed="false">
      <c r="A68" s="5" t="n">
        <v>45777</v>
      </c>
      <c r="B68" s="2" t="s">
        <v>15</v>
      </c>
      <c r="C68" s="2" t="s">
        <v>53</v>
      </c>
      <c r="D68" s="93" t="n">
        <v>31457205.83</v>
      </c>
      <c r="E68" s="1" t="n">
        <f aca="false">YEAR(A68)</f>
        <v>2025</v>
      </c>
      <c r="F68" s="1" t="n">
        <f aca="false">MONTH(A68)</f>
        <v>4</v>
      </c>
      <c r="G68" s="1" t="n">
        <f aca="false">(YEAR(close_date)-YEAR(A68))*12+MONTH(close_date)-MONTH(A68)</f>
        <v>9</v>
      </c>
      <c r="H68" s="8" t="n">
        <f aca="false">VLOOKUP(B68&amp;C68&amp;G68,cf!D:E,2,FALSE())</f>
        <v>0.995083</v>
      </c>
      <c r="I68" s="45" t="n">
        <f aca="false">D68/H68</f>
        <v>31612645.2064803</v>
      </c>
    </row>
    <row r="69" customFormat="false" ht="12" hidden="false" customHeight="false" outlineLevel="0" collapsed="false">
      <c r="A69" s="5" t="n">
        <v>45777</v>
      </c>
      <c r="B69" s="2" t="s">
        <v>90</v>
      </c>
      <c r="C69" s="2" t="s">
        <v>16</v>
      </c>
      <c r="D69" s="93" t="n">
        <v>14968691.2</v>
      </c>
      <c r="E69" s="1" t="n">
        <f aca="false">YEAR(A69)</f>
        <v>2025</v>
      </c>
      <c r="F69" s="1" t="n">
        <f aca="false">MONTH(A69)</f>
        <v>4</v>
      </c>
      <c r="G69" s="1" t="n">
        <f aca="false">(YEAR(close_date)-YEAR(A69))*12+MONTH(close_date)-MONTH(A69)</f>
        <v>9</v>
      </c>
      <c r="H69" s="8" t="n">
        <f aca="false">VLOOKUP(B69&amp;C69&amp;G69,cf!D:E,2,FALSE())</f>
        <v>0.992081</v>
      </c>
      <c r="I69" s="45" t="n">
        <f aca="false">D69/H69</f>
        <v>15088174.4534972</v>
      </c>
    </row>
    <row r="70" customFormat="false" ht="12" hidden="false" customHeight="false" outlineLevel="0" collapsed="false">
      <c r="A70" s="5" t="n">
        <v>45777</v>
      </c>
      <c r="B70" s="2" t="s">
        <v>90</v>
      </c>
      <c r="C70" s="2" t="s">
        <v>53</v>
      </c>
      <c r="D70" s="93" t="n">
        <v>22492659.74</v>
      </c>
      <c r="E70" s="1" t="n">
        <f aca="false">YEAR(A70)</f>
        <v>2025</v>
      </c>
      <c r="F70" s="1" t="n">
        <f aca="false">MONTH(A70)</f>
        <v>4</v>
      </c>
      <c r="G70" s="1" t="n">
        <f aca="false">(YEAR(close_date)-YEAR(A70))*12+MONTH(close_date)-MONTH(A70)</f>
        <v>9</v>
      </c>
      <c r="H70" s="8" t="n">
        <f aca="false">VLOOKUP(B70&amp;C70&amp;G70,cf!D:E,2,FALSE())</f>
        <v>0.993871</v>
      </c>
      <c r="I70" s="45" t="n">
        <f aca="false">D70/H70</f>
        <v>22631367.3907378</v>
      </c>
    </row>
    <row r="71" customFormat="false" ht="12" hidden="false" customHeight="false" outlineLevel="0" collapsed="false">
      <c r="A71" s="5" t="n">
        <v>45808</v>
      </c>
      <c r="B71" s="2" t="s">
        <v>15</v>
      </c>
      <c r="C71" s="2" t="s">
        <v>16</v>
      </c>
      <c r="D71" s="93" t="n">
        <v>19612110.31</v>
      </c>
      <c r="E71" s="1" t="n">
        <f aca="false">YEAR(A71)</f>
        <v>2025</v>
      </c>
      <c r="F71" s="1" t="n">
        <f aca="false">MONTH(A71)</f>
        <v>5</v>
      </c>
      <c r="G71" s="1" t="n">
        <f aca="false">(YEAR(close_date)-YEAR(A71))*12+MONTH(close_date)-MONTH(A71)</f>
        <v>8</v>
      </c>
      <c r="H71" s="8" t="n">
        <f aca="false">VLOOKUP(B71&amp;C71&amp;G71,cf!D:E,2,FALSE())</f>
        <v>0.988369</v>
      </c>
      <c r="I71" s="45" t="n">
        <f aca="false">D71/H71</f>
        <v>19842903.1161439</v>
      </c>
    </row>
    <row r="72" customFormat="false" ht="12" hidden="false" customHeight="false" outlineLevel="0" collapsed="false">
      <c r="A72" s="5" t="n">
        <v>45808</v>
      </c>
      <c r="B72" s="2" t="s">
        <v>15</v>
      </c>
      <c r="C72" s="2" t="s">
        <v>53</v>
      </c>
      <c r="D72" s="93" t="n">
        <v>29491331.02</v>
      </c>
      <c r="E72" s="1" t="n">
        <f aca="false">YEAR(A72)</f>
        <v>2025</v>
      </c>
      <c r="F72" s="1" t="n">
        <f aca="false">MONTH(A72)</f>
        <v>5</v>
      </c>
      <c r="G72" s="1" t="n">
        <f aca="false">(YEAR(close_date)-YEAR(A72))*12+MONTH(close_date)-MONTH(A72)</f>
        <v>8</v>
      </c>
      <c r="H72" s="8" t="n">
        <f aca="false">VLOOKUP(B72&amp;C72&amp;G72,cf!D:E,2,FALSE())</f>
        <v>0.987828</v>
      </c>
      <c r="I72" s="45" t="n">
        <f aca="false">D72/H72</f>
        <v>29854722.7047624</v>
      </c>
    </row>
    <row r="73" customFormat="false" ht="12" hidden="false" customHeight="false" outlineLevel="0" collapsed="false">
      <c r="A73" s="5" t="n">
        <v>45808</v>
      </c>
      <c r="B73" s="2" t="s">
        <v>90</v>
      </c>
      <c r="C73" s="2" t="s">
        <v>16</v>
      </c>
      <c r="D73" s="93" t="n">
        <v>13417712.3</v>
      </c>
      <c r="E73" s="1" t="n">
        <f aca="false">YEAR(A73)</f>
        <v>2025</v>
      </c>
      <c r="F73" s="1" t="n">
        <f aca="false">MONTH(A73)</f>
        <v>5</v>
      </c>
      <c r="G73" s="1" t="n">
        <f aca="false">(YEAR(close_date)-YEAR(A73))*12+MONTH(close_date)-MONTH(A73)</f>
        <v>8</v>
      </c>
      <c r="H73" s="8" t="n">
        <f aca="false">VLOOKUP(B73&amp;C73&amp;G73,cf!D:E,2,FALSE())</f>
        <v>0.973538</v>
      </c>
      <c r="I73" s="45" t="n">
        <f aca="false">D73/H73</f>
        <v>13782422.7713762</v>
      </c>
    </row>
    <row r="74" customFormat="false" ht="12" hidden="false" customHeight="false" outlineLevel="0" collapsed="false">
      <c r="A74" s="5" t="n">
        <v>45808</v>
      </c>
      <c r="B74" s="2" t="s">
        <v>90</v>
      </c>
      <c r="C74" s="2" t="s">
        <v>53</v>
      </c>
      <c r="D74" s="93" t="n">
        <v>21058387.05</v>
      </c>
      <c r="E74" s="1" t="n">
        <f aca="false">YEAR(A74)</f>
        <v>2025</v>
      </c>
      <c r="F74" s="1" t="n">
        <f aca="false">MONTH(A74)</f>
        <v>5</v>
      </c>
      <c r="G74" s="1" t="n">
        <f aca="false">(YEAR(close_date)-YEAR(A74))*12+MONTH(close_date)-MONTH(A74)</f>
        <v>8</v>
      </c>
      <c r="H74" s="8" t="n">
        <f aca="false">VLOOKUP(B74&amp;C74&amp;G74,cf!D:E,2,FALSE())</f>
        <v>0.986039</v>
      </c>
      <c r="I74" s="45" t="n">
        <f aca="false">D74/H74</f>
        <v>21356545.7857144</v>
      </c>
    </row>
    <row r="75" customFormat="false" ht="12" hidden="false" customHeight="false" outlineLevel="0" collapsed="false">
      <c r="A75" s="5" t="n">
        <v>45838</v>
      </c>
      <c r="B75" s="2" t="s">
        <v>15</v>
      </c>
      <c r="C75" s="2" t="s">
        <v>16</v>
      </c>
      <c r="D75" s="93" t="n">
        <v>18439127.64</v>
      </c>
      <c r="E75" s="1" t="n">
        <f aca="false">YEAR(A75)</f>
        <v>2025</v>
      </c>
      <c r="F75" s="1" t="n">
        <f aca="false">MONTH(A75)</f>
        <v>6</v>
      </c>
      <c r="G75" s="1" t="n">
        <f aca="false">(YEAR(close_date)-YEAR(A75))*12+MONTH(close_date)-MONTH(A75)</f>
        <v>7</v>
      </c>
      <c r="H75" s="8" t="n">
        <f aca="false">VLOOKUP(B75&amp;C75&amp;G75,cf!D:E,2,FALSE())</f>
        <v>0.979211</v>
      </c>
      <c r="I75" s="45" t="n">
        <f aca="false">D75/H75</f>
        <v>18830596.9193565</v>
      </c>
    </row>
    <row r="76" customFormat="false" ht="12" hidden="false" customHeight="false" outlineLevel="0" collapsed="false">
      <c r="A76" s="5" t="n">
        <v>45838</v>
      </c>
      <c r="B76" s="2" t="s">
        <v>15</v>
      </c>
      <c r="C76" s="2" t="s">
        <v>53</v>
      </c>
      <c r="D76" s="93" t="n">
        <v>28836117.1</v>
      </c>
      <c r="E76" s="1" t="n">
        <f aca="false">YEAR(A76)</f>
        <v>2025</v>
      </c>
      <c r="F76" s="1" t="n">
        <f aca="false">MONTH(A76)</f>
        <v>6</v>
      </c>
      <c r="G76" s="1" t="n">
        <f aca="false">(YEAR(close_date)-YEAR(A76))*12+MONTH(close_date)-MONTH(A76)</f>
        <v>7</v>
      </c>
      <c r="H76" s="8" t="n">
        <f aca="false">VLOOKUP(B76&amp;C76&amp;G76,cf!D:E,2,FALSE())</f>
        <v>0.979727</v>
      </c>
      <c r="I76" s="45" t="n">
        <f aca="false">D76/H76</f>
        <v>29432808.4252042</v>
      </c>
    </row>
    <row r="77" customFormat="false" ht="12" hidden="false" customHeight="false" outlineLevel="0" collapsed="false">
      <c r="A77" s="5" t="n">
        <v>45838</v>
      </c>
      <c r="B77" s="2" t="s">
        <v>90</v>
      </c>
      <c r="C77" s="2" t="s">
        <v>16</v>
      </c>
      <c r="D77" s="93" t="n">
        <v>12684662.4</v>
      </c>
      <c r="E77" s="1" t="n">
        <f aca="false">YEAR(A77)</f>
        <v>2025</v>
      </c>
      <c r="F77" s="1" t="n">
        <f aca="false">MONTH(A77)</f>
        <v>6</v>
      </c>
      <c r="G77" s="1" t="n">
        <f aca="false">(YEAR(close_date)-YEAR(A77))*12+MONTH(close_date)-MONTH(A77)</f>
        <v>7</v>
      </c>
      <c r="H77" s="8" t="n">
        <f aca="false">VLOOKUP(B77&amp;C77&amp;G77,cf!D:E,2,FALSE())</f>
        <v>0.952571</v>
      </c>
      <c r="I77" s="45" t="n">
        <f aca="false">D77/H77</f>
        <v>13316238.2646543</v>
      </c>
    </row>
    <row r="78" customFormat="false" ht="12" hidden="false" customHeight="false" outlineLevel="0" collapsed="false">
      <c r="A78" s="5" t="n">
        <v>45838</v>
      </c>
      <c r="B78" s="2" t="s">
        <v>90</v>
      </c>
      <c r="C78" s="2" t="s">
        <v>53</v>
      </c>
      <c r="D78" s="93" t="n">
        <v>20326649.34</v>
      </c>
      <c r="E78" s="1" t="n">
        <f aca="false">YEAR(A78)</f>
        <v>2025</v>
      </c>
      <c r="F78" s="1" t="n">
        <f aca="false">MONTH(A78)</f>
        <v>6</v>
      </c>
      <c r="G78" s="1" t="n">
        <f aca="false">(YEAR(close_date)-YEAR(A78))*12+MONTH(close_date)-MONTH(A78)</f>
        <v>7</v>
      </c>
      <c r="H78" s="8" t="n">
        <f aca="false">VLOOKUP(B78&amp;C78&amp;G78,cf!D:E,2,FALSE())</f>
        <v>0.973761</v>
      </c>
      <c r="I78" s="45" t="n">
        <f aca="false">D78/H78</f>
        <v>20874371.9865552</v>
      </c>
    </row>
    <row r="79" customFormat="false" ht="12" hidden="false" customHeight="false" outlineLevel="0" collapsed="false">
      <c r="A79" s="5" t="n">
        <v>45869</v>
      </c>
      <c r="B79" s="2" t="s">
        <v>15</v>
      </c>
      <c r="C79" s="2" t="s">
        <v>16</v>
      </c>
      <c r="D79" s="93" t="n">
        <v>19749909.45</v>
      </c>
      <c r="E79" s="1" t="n">
        <f aca="false">YEAR(A79)</f>
        <v>2025</v>
      </c>
      <c r="F79" s="1" t="n">
        <f aca="false">MONTH(A79)</f>
        <v>7</v>
      </c>
      <c r="G79" s="1" t="n">
        <f aca="false">(YEAR(close_date)-YEAR(A79))*12+MONTH(close_date)-MONTH(A79)</f>
        <v>6</v>
      </c>
      <c r="H79" s="8" t="n">
        <f aca="false">VLOOKUP(B79&amp;C79&amp;G79,cf!D:E,2,FALSE())</f>
        <v>0.96482</v>
      </c>
      <c r="I79" s="45" t="n">
        <f aca="false">D79/H79</f>
        <v>20470045.6561846</v>
      </c>
    </row>
    <row r="80" customFormat="false" ht="12" hidden="false" customHeight="false" outlineLevel="0" collapsed="false">
      <c r="A80" s="5" t="n">
        <v>45869</v>
      </c>
      <c r="B80" s="2" t="s">
        <v>15</v>
      </c>
      <c r="C80" s="2" t="s">
        <v>53</v>
      </c>
      <c r="D80" s="93" t="n">
        <v>29026152.34</v>
      </c>
      <c r="E80" s="1" t="n">
        <f aca="false">YEAR(A80)</f>
        <v>2025</v>
      </c>
      <c r="F80" s="1" t="n">
        <f aca="false">MONTH(A80)</f>
        <v>7</v>
      </c>
      <c r="G80" s="1" t="n">
        <f aca="false">(YEAR(close_date)-YEAR(A80))*12+MONTH(close_date)-MONTH(A80)</f>
        <v>6</v>
      </c>
      <c r="H80" s="8" t="n">
        <f aca="false">VLOOKUP(B80&amp;C80&amp;G80,cf!D:E,2,FALSE())</f>
        <v>0.970254</v>
      </c>
      <c r="I80" s="45" t="n">
        <f aca="false">D80/H80</f>
        <v>29916034.7084372</v>
      </c>
    </row>
    <row r="81" customFormat="false" ht="12" hidden="false" customHeight="false" outlineLevel="0" collapsed="false">
      <c r="A81" s="5" t="n">
        <v>45869</v>
      </c>
      <c r="B81" s="2" t="s">
        <v>90</v>
      </c>
      <c r="C81" s="2" t="s">
        <v>16</v>
      </c>
      <c r="D81" s="93" t="n">
        <v>13973565.3</v>
      </c>
      <c r="E81" s="1" t="n">
        <f aca="false">YEAR(A81)</f>
        <v>2025</v>
      </c>
      <c r="F81" s="1" t="n">
        <f aca="false">MONTH(A81)</f>
        <v>7</v>
      </c>
      <c r="G81" s="1" t="n">
        <f aca="false">(YEAR(close_date)-YEAR(A81))*12+MONTH(close_date)-MONTH(A81)</f>
        <v>6</v>
      </c>
      <c r="H81" s="8" t="n">
        <f aca="false">VLOOKUP(B81&amp;C81&amp;G81,cf!D:E,2,FALSE())</f>
        <v>0.924692</v>
      </c>
      <c r="I81" s="45" t="n">
        <f aca="false">D81/H81</f>
        <v>15111588.8317407</v>
      </c>
    </row>
    <row r="82" customFormat="false" ht="12" hidden="false" customHeight="false" outlineLevel="0" collapsed="false">
      <c r="A82" s="5" t="n">
        <v>45869</v>
      </c>
      <c r="B82" s="2" t="s">
        <v>90</v>
      </c>
      <c r="C82" s="2" t="s">
        <v>53</v>
      </c>
      <c r="D82" s="93" t="n">
        <v>20544366.44</v>
      </c>
      <c r="E82" s="1" t="n">
        <f aca="false">YEAR(A82)</f>
        <v>2025</v>
      </c>
      <c r="F82" s="1" t="n">
        <f aca="false">MONTH(A82)</f>
        <v>7</v>
      </c>
      <c r="G82" s="1" t="n">
        <f aca="false">(YEAR(close_date)-YEAR(A82))*12+MONTH(close_date)-MONTH(A82)</f>
        <v>6</v>
      </c>
      <c r="H82" s="8" t="n">
        <f aca="false">VLOOKUP(B82&amp;C82&amp;G82,cf!D:E,2,FALSE())</f>
        <v>0.956766</v>
      </c>
      <c r="I82" s="45" t="n">
        <f aca="false">D82/H82</f>
        <v>21472717.9268494</v>
      </c>
    </row>
    <row r="83" customFormat="false" ht="12" hidden="false" customHeight="false" outlineLevel="0" collapsed="false">
      <c r="A83" s="5" t="n">
        <v>45900</v>
      </c>
      <c r="B83" s="2" t="s">
        <v>15</v>
      </c>
      <c r="C83" s="2" t="s">
        <v>16</v>
      </c>
      <c r="D83" s="93" t="n">
        <v>19016062.03</v>
      </c>
      <c r="E83" s="1" t="n">
        <f aca="false">YEAR(A83)</f>
        <v>2025</v>
      </c>
      <c r="F83" s="1" t="n">
        <f aca="false">MONTH(A83)</f>
        <v>8</v>
      </c>
      <c r="G83" s="1" t="n">
        <f aca="false">(YEAR(close_date)-YEAR(A83))*12+MONTH(close_date)-MONTH(A83)</f>
        <v>5</v>
      </c>
      <c r="H83" s="8" t="n">
        <f aca="false">VLOOKUP(B83&amp;C83&amp;G83,cf!D:E,2,FALSE())</f>
        <v>0.931521</v>
      </c>
      <c r="I83" s="45" t="n">
        <f aca="false">D83/H83</f>
        <v>20413991.7725956</v>
      </c>
    </row>
    <row r="84" customFormat="false" ht="12" hidden="false" customHeight="false" outlineLevel="0" collapsed="false">
      <c r="A84" s="5" t="n">
        <v>45900</v>
      </c>
      <c r="B84" s="2" t="s">
        <v>15</v>
      </c>
      <c r="C84" s="2" t="s">
        <v>53</v>
      </c>
      <c r="D84" s="93" t="n">
        <v>29153816.23</v>
      </c>
      <c r="E84" s="1" t="n">
        <f aca="false">YEAR(A84)</f>
        <v>2025</v>
      </c>
      <c r="F84" s="1" t="n">
        <f aca="false">MONTH(A84)</f>
        <v>8</v>
      </c>
      <c r="G84" s="1" t="n">
        <f aca="false">(YEAR(close_date)-YEAR(A84))*12+MONTH(close_date)-MONTH(A84)</f>
        <v>5</v>
      </c>
      <c r="H84" s="8" t="n">
        <f aca="false">VLOOKUP(B84&amp;C84&amp;G84,cf!D:E,2,FALSE())</f>
        <v>0.955518</v>
      </c>
      <c r="I84" s="45" t="n">
        <f aca="false">D84/H84</f>
        <v>30511006.8360826</v>
      </c>
    </row>
    <row r="85" customFormat="false" ht="12" hidden="false" customHeight="false" outlineLevel="0" collapsed="false">
      <c r="A85" s="5" t="n">
        <v>45900</v>
      </c>
      <c r="B85" s="2" t="s">
        <v>90</v>
      </c>
      <c r="C85" s="2" t="s">
        <v>16</v>
      </c>
      <c r="D85" s="93" t="n">
        <v>12609385.39</v>
      </c>
      <c r="E85" s="1" t="n">
        <f aca="false">YEAR(A85)</f>
        <v>2025</v>
      </c>
      <c r="F85" s="1" t="n">
        <f aca="false">MONTH(A85)</f>
        <v>8</v>
      </c>
      <c r="G85" s="1" t="n">
        <f aca="false">(YEAR(close_date)-YEAR(A85))*12+MONTH(close_date)-MONTH(A85)</f>
        <v>5</v>
      </c>
      <c r="H85" s="8" t="n">
        <f aca="false">VLOOKUP(B85&amp;C85&amp;G85,cf!D:E,2,FALSE())</f>
        <v>0.884043</v>
      </c>
      <c r="I85" s="45" t="n">
        <f aca="false">D85/H85</f>
        <v>14263316.8182996</v>
      </c>
    </row>
    <row r="86" customFormat="false" ht="12" hidden="false" customHeight="false" outlineLevel="0" collapsed="false">
      <c r="A86" s="5" t="n">
        <v>45900</v>
      </c>
      <c r="B86" s="2" t="s">
        <v>90</v>
      </c>
      <c r="C86" s="2" t="s">
        <v>53</v>
      </c>
      <c r="D86" s="93" t="n">
        <v>20921448.98</v>
      </c>
      <c r="E86" s="1" t="n">
        <f aca="false">YEAR(A86)</f>
        <v>2025</v>
      </c>
      <c r="F86" s="1" t="n">
        <f aca="false">MONTH(A86)</f>
        <v>8</v>
      </c>
      <c r="G86" s="1" t="n">
        <f aca="false">(YEAR(close_date)-YEAR(A86))*12+MONTH(close_date)-MONTH(A86)</f>
        <v>5</v>
      </c>
      <c r="H86" s="8" t="n">
        <f aca="false">VLOOKUP(B86&amp;C86&amp;G86,cf!D:E,2,FALSE())</f>
        <v>0.931155</v>
      </c>
      <c r="I86" s="45" t="n">
        <f aca="false">D86/H86</f>
        <v>22468277.5477767</v>
      </c>
    </row>
    <row r="87" customFormat="false" ht="12" hidden="false" customHeight="false" outlineLevel="0" collapsed="false">
      <c r="A87" s="5" t="n">
        <v>45930</v>
      </c>
      <c r="B87" s="2" t="s">
        <v>15</v>
      </c>
      <c r="C87" s="2" t="s">
        <v>16</v>
      </c>
      <c r="D87" s="93" t="n">
        <v>19102113.92</v>
      </c>
      <c r="E87" s="1" t="n">
        <f aca="false">YEAR(A87)</f>
        <v>2025</v>
      </c>
      <c r="F87" s="1" t="n">
        <f aca="false">MONTH(A87)</f>
        <v>9</v>
      </c>
      <c r="G87" s="1" t="n">
        <f aca="false">(YEAR(close_date)-YEAR(A87))*12+MONTH(close_date)-MONTH(A87)</f>
        <v>4</v>
      </c>
      <c r="H87" s="8" t="n">
        <f aca="false">VLOOKUP(B87&amp;C87&amp;G87,cf!D:E,2,FALSE())</f>
        <v>0.88459</v>
      </c>
      <c r="I87" s="45" t="n">
        <f aca="false">D87/H87</f>
        <v>21594313.6594354</v>
      </c>
    </row>
    <row r="88" customFormat="false" ht="12" hidden="false" customHeight="false" outlineLevel="0" collapsed="false">
      <c r="A88" s="5" t="n">
        <v>45930</v>
      </c>
      <c r="B88" s="2" t="s">
        <v>15</v>
      </c>
      <c r="C88" s="2" t="s">
        <v>53</v>
      </c>
      <c r="D88" s="93" t="n">
        <v>29924538.29</v>
      </c>
      <c r="E88" s="1" t="n">
        <f aca="false">YEAR(A88)</f>
        <v>2025</v>
      </c>
      <c r="F88" s="1" t="n">
        <f aca="false">MONTH(A88)</f>
        <v>9</v>
      </c>
      <c r="G88" s="1" t="n">
        <f aca="false">(YEAR(close_date)-YEAR(A88))*12+MONTH(close_date)-MONTH(A88)</f>
        <v>4</v>
      </c>
      <c r="H88" s="8" t="n">
        <f aca="false">VLOOKUP(B88&amp;C88&amp;G88,cf!D:E,2,FALSE())</f>
        <v>0.936555</v>
      </c>
      <c r="I88" s="45" t="n">
        <f aca="false">D88/H88</f>
        <v>31951714.8378899</v>
      </c>
    </row>
    <row r="89" customFormat="false" ht="12" hidden="false" customHeight="false" outlineLevel="0" collapsed="false">
      <c r="A89" s="5" t="n">
        <v>45930</v>
      </c>
      <c r="B89" s="2" t="s">
        <v>90</v>
      </c>
      <c r="C89" s="2" t="s">
        <v>16</v>
      </c>
      <c r="D89" s="93" t="n">
        <v>11981606.03</v>
      </c>
      <c r="E89" s="1" t="n">
        <f aca="false">YEAR(A89)</f>
        <v>2025</v>
      </c>
      <c r="F89" s="1" t="n">
        <f aca="false">MONTH(A89)</f>
        <v>9</v>
      </c>
      <c r="G89" s="1" t="n">
        <f aca="false">(YEAR(close_date)-YEAR(A89))*12+MONTH(close_date)-MONTH(A89)</f>
        <v>4</v>
      </c>
      <c r="H89" s="8" t="n">
        <f aca="false">VLOOKUP(B89&amp;C89&amp;G89,cf!D:E,2,FALSE())</f>
        <v>0.823299</v>
      </c>
      <c r="I89" s="45" t="n">
        <f aca="false">D89/H89</f>
        <v>14553164.8040384</v>
      </c>
    </row>
    <row r="90" customFormat="false" ht="12" hidden="false" customHeight="false" outlineLevel="0" collapsed="false">
      <c r="A90" s="5" t="n">
        <v>45930</v>
      </c>
      <c r="B90" s="2" t="s">
        <v>90</v>
      </c>
      <c r="C90" s="2" t="s">
        <v>53</v>
      </c>
      <c r="D90" s="93" t="n">
        <v>20526299.33</v>
      </c>
      <c r="E90" s="1" t="n">
        <f aca="false">YEAR(A90)</f>
        <v>2025</v>
      </c>
      <c r="F90" s="1" t="n">
        <f aca="false">MONTH(A90)</f>
        <v>9</v>
      </c>
      <c r="G90" s="1" t="n">
        <f aca="false">(YEAR(close_date)-YEAR(A90))*12+MONTH(close_date)-MONTH(A90)</f>
        <v>4</v>
      </c>
      <c r="H90" s="8" t="n">
        <f aca="false">VLOOKUP(B90&amp;C90&amp;G90,cf!D:E,2,FALSE())</f>
        <v>0.90603</v>
      </c>
      <c r="I90" s="45" t="n">
        <f aca="false">D90/H90</f>
        <v>22655209.3528912</v>
      </c>
    </row>
    <row r="91" customFormat="false" ht="12" hidden="false" customHeight="false" outlineLevel="0" collapsed="false">
      <c r="A91" s="5" t="n">
        <v>45961</v>
      </c>
      <c r="B91" s="2" t="s">
        <v>15</v>
      </c>
      <c r="C91" s="2" t="s">
        <v>16</v>
      </c>
      <c r="D91" s="93" t="n">
        <v>17977183.93</v>
      </c>
      <c r="E91" s="1" t="n">
        <f aca="false">YEAR(A91)</f>
        <v>2025</v>
      </c>
      <c r="F91" s="1" t="n">
        <f aca="false">MONTH(A91)</f>
        <v>10</v>
      </c>
      <c r="G91" s="1" t="n">
        <f aca="false">(YEAR(close_date)-YEAR(A91))*12+MONTH(close_date)-MONTH(A91)</f>
        <v>3</v>
      </c>
      <c r="H91" s="8" t="n">
        <f aca="false">VLOOKUP(B91&amp;C91&amp;G91,cf!D:E,2,FALSE())</f>
        <v>0.807872</v>
      </c>
      <c r="I91" s="45" t="n">
        <f aca="false">D91/H91</f>
        <v>22252515.1632932</v>
      </c>
    </row>
    <row r="92" customFormat="false" ht="12" hidden="false" customHeight="false" outlineLevel="0" collapsed="false">
      <c r="A92" s="5" t="n">
        <v>45961</v>
      </c>
      <c r="B92" s="2" t="s">
        <v>15</v>
      </c>
      <c r="C92" s="2" t="s">
        <v>53</v>
      </c>
      <c r="D92" s="93" t="n">
        <v>29210827.91</v>
      </c>
      <c r="E92" s="1" t="n">
        <f aca="false">YEAR(A92)</f>
        <v>2025</v>
      </c>
      <c r="F92" s="1" t="n">
        <f aca="false">MONTH(A92)</f>
        <v>10</v>
      </c>
      <c r="G92" s="1" t="n">
        <f aca="false">(YEAR(close_date)-YEAR(A92))*12+MONTH(close_date)-MONTH(A92)</f>
        <v>3</v>
      </c>
      <c r="H92" s="8" t="n">
        <f aca="false">VLOOKUP(B92&amp;C92&amp;G92,cf!D:E,2,FALSE())</f>
        <v>0.902246</v>
      </c>
      <c r="I92" s="45" t="n">
        <f aca="false">D92/H92</f>
        <v>32375680.1470996</v>
      </c>
    </row>
    <row r="93" customFormat="false" ht="12" hidden="false" customHeight="false" outlineLevel="0" collapsed="false">
      <c r="A93" s="5" t="n">
        <v>45961</v>
      </c>
      <c r="B93" s="2" t="s">
        <v>90</v>
      </c>
      <c r="C93" s="2" t="s">
        <v>16</v>
      </c>
      <c r="D93" s="93" t="n">
        <v>12131969.54</v>
      </c>
      <c r="E93" s="1" t="n">
        <f aca="false">YEAR(A93)</f>
        <v>2025</v>
      </c>
      <c r="F93" s="1" t="n">
        <f aca="false">MONTH(A93)</f>
        <v>10</v>
      </c>
      <c r="G93" s="1" t="n">
        <f aca="false">(YEAR(close_date)-YEAR(A93))*12+MONTH(close_date)-MONTH(A93)</f>
        <v>3</v>
      </c>
      <c r="H93" s="8" t="n">
        <f aca="false">VLOOKUP(B93&amp;C93&amp;G93,cf!D:E,2,FALSE())</f>
        <v>0.733393</v>
      </c>
      <c r="I93" s="45" t="n">
        <f aca="false">D93/H93</f>
        <v>16542248.8897494</v>
      </c>
    </row>
    <row r="94" customFormat="false" ht="12" hidden="false" customHeight="false" outlineLevel="0" collapsed="false">
      <c r="A94" s="5" t="n">
        <v>45961</v>
      </c>
      <c r="B94" s="2" t="s">
        <v>90</v>
      </c>
      <c r="C94" s="2" t="s">
        <v>53</v>
      </c>
      <c r="D94" s="93" t="n">
        <v>20939748.67</v>
      </c>
      <c r="E94" s="1" t="n">
        <f aca="false">YEAR(A94)</f>
        <v>2025</v>
      </c>
      <c r="F94" s="1" t="n">
        <f aca="false">MONTH(A94)</f>
        <v>10</v>
      </c>
      <c r="G94" s="1" t="n">
        <f aca="false">(YEAR(close_date)-YEAR(A94))*12+MONTH(close_date)-MONTH(A94)</f>
        <v>3</v>
      </c>
      <c r="H94" s="8" t="n">
        <f aca="false">VLOOKUP(B94&amp;C94&amp;G94,cf!D:E,2,FALSE())</f>
        <v>0.857276</v>
      </c>
      <c r="I94" s="45" t="n">
        <f aca="false">D94/H94</f>
        <v>24425912.6232392</v>
      </c>
    </row>
    <row r="95" customFormat="false" ht="12" hidden="false" customHeight="false" outlineLevel="0" collapsed="false">
      <c r="A95" s="5" t="n">
        <v>45991</v>
      </c>
      <c r="B95" s="2" t="s">
        <v>15</v>
      </c>
      <c r="C95" s="2" t="s">
        <v>16</v>
      </c>
      <c r="D95" s="93" t="n">
        <v>14160488.33</v>
      </c>
      <c r="E95" s="1" t="n">
        <f aca="false">YEAR(A95)</f>
        <v>2025</v>
      </c>
      <c r="F95" s="1" t="n">
        <f aca="false">MONTH(A95)</f>
        <v>11</v>
      </c>
      <c r="G95" s="1" t="n">
        <f aca="false">(YEAR(close_date)-YEAR(A95))*12+MONTH(close_date)-MONTH(A95)</f>
        <v>2</v>
      </c>
      <c r="H95" s="8" t="n">
        <f aca="false">VLOOKUP(B95&amp;C95&amp;G95,cf!D:E,2,FALSE())</f>
        <v>0.655611</v>
      </c>
      <c r="I95" s="45" t="n">
        <f aca="false">D95/H95</f>
        <v>21598918.1542103</v>
      </c>
    </row>
    <row r="96" customFormat="false" ht="12" hidden="false" customHeight="false" outlineLevel="0" collapsed="false">
      <c r="A96" s="5" t="n">
        <v>45991</v>
      </c>
      <c r="B96" s="2" t="s">
        <v>15</v>
      </c>
      <c r="C96" s="2" t="s">
        <v>53</v>
      </c>
      <c r="D96" s="93" t="n">
        <v>26644208.3</v>
      </c>
      <c r="E96" s="1" t="n">
        <f aca="false">YEAR(A96)</f>
        <v>2025</v>
      </c>
      <c r="F96" s="1" t="n">
        <f aca="false">MONTH(A96)</f>
        <v>11</v>
      </c>
      <c r="G96" s="1" t="n">
        <f aca="false">(YEAR(close_date)-YEAR(A96))*12+MONTH(close_date)-MONTH(A96)</f>
        <v>2</v>
      </c>
      <c r="H96" s="8" t="n">
        <f aca="false">VLOOKUP(B96&amp;C96&amp;G96,cf!D:E,2,FALSE())</f>
        <v>0.852116</v>
      </c>
      <c r="I96" s="45" t="n">
        <f aca="false">D96/H96</f>
        <v>31268287.768332</v>
      </c>
    </row>
    <row r="97" customFormat="false" ht="12" hidden="false" customHeight="false" outlineLevel="0" collapsed="false">
      <c r="A97" s="5" t="n">
        <v>45991</v>
      </c>
      <c r="B97" s="2" t="s">
        <v>90</v>
      </c>
      <c r="C97" s="2" t="s">
        <v>16</v>
      </c>
      <c r="D97" s="93" t="n">
        <v>9149293.14</v>
      </c>
      <c r="E97" s="1" t="n">
        <f aca="false">YEAR(A97)</f>
        <v>2025</v>
      </c>
      <c r="F97" s="1" t="n">
        <f aca="false">MONTH(A97)</f>
        <v>11</v>
      </c>
      <c r="G97" s="1" t="n">
        <f aca="false">(YEAR(close_date)-YEAR(A97))*12+MONTH(close_date)-MONTH(A97)</f>
        <v>2</v>
      </c>
      <c r="H97" s="8" t="n">
        <f aca="false">VLOOKUP(B97&amp;C97&amp;G97,cf!D:E,2,FALSE())</f>
        <v>0.571625</v>
      </c>
      <c r="I97" s="45" t="n">
        <f aca="false">D97/H97</f>
        <v>16005761.0146512</v>
      </c>
    </row>
    <row r="98" customFormat="false" ht="12" hidden="false" customHeight="false" outlineLevel="0" collapsed="false">
      <c r="A98" s="5" t="n">
        <v>45991</v>
      </c>
      <c r="B98" s="2" t="s">
        <v>90</v>
      </c>
      <c r="C98" s="2" t="s">
        <v>53</v>
      </c>
      <c r="D98" s="93" t="n">
        <v>16993483.17</v>
      </c>
      <c r="E98" s="1" t="n">
        <f aca="false">YEAR(A98)</f>
        <v>2025</v>
      </c>
      <c r="F98" s="1" t="n">
        <f aca="false">MONTH(A98)</f>
        <v>11</v>
      </c>
      <c r="G98" s="1" t="n">
        <f aca="false">(YEAR(close_date)-YEAR(A98))*12+MONTH(close_date)-MONTH(A98)</f>
        <v>2</v>
      </c>
      <c r="H98" s="8" t="n">
        <f aca="false">VLOOKUP(B98&amp;C98&amp;G98,cf!D:E,2,FALSE())</f>
        <v>0.761422</v>
      </c>
      <c r="I98" s="45" t="n">
        <f aca="false">D98/H98</f>
        <v>22318087.9591081</v>
      </c>
    </row>
    <row r="99" customFormat="false" ht="12" hidden="false" customHeight="false" outlineLevel="0" collapsed="false">
      <c r="A99" s="5" t="n">
        <v>46022</v>
      </c>
      <c r="B99" s="2" t="s">
        <v>15</v>
      </c>
      <c r="C99" s="2" t="s">
        <v>16</v>
      </c>
      <c r="D99" s="93" t="n">
        <v>9730104.54</v>
      </c>
      <c r="E99" s="1" t="n">
        <f aca="false">YEAR(A99)</f>
        <v>2025</v>
      </c>
      <c r="F99" s="1" t="n">
        <f aca="false">MONTH(A99)</f>
        <v>12</v>
      </c>
      <c r="G99" s="1" t="n">
        <f aca="false">(YEAR(close_date)-YEAR(A99))*12+MONTH(close_date)-MONTH(A99)</f>
        <v>1</v>
      </c>
      <c r="H99" s="8" t="n">
        <f aca="false">VLOOKUP(B99&amp;C99&amp;G99,cf!D:E,2,FALSE())</f>
        <v>0.377341</v>
      </c>
      <c r="I99" s="45" t="n">
        <f aca="false">D99/H99</f>
        <v>25785972.210812</v>
      </c>
    </row>
    <row r="100" customFormat="false" ht="12" hidden="false" customHeight="false" outlineLevel="0" collapsed="false">
      <c r="A100" s="5" t="n">
        <v>46022</v>
      </c>
      <c r="B100" s="2" t="s">
        <v>15</v>
      </c>
      <c r="C100" s="2" t="s">
        <v>53</v>
      </c>
      <c r="D100" s="93" t="n">
        <v>21976506.81</v>
      </c>
      <c r="E100" s="1" t="n">
        <f aca="false">YEAR(A100)</f>
        <v>2025</v>
      </c>
      <c r="F100" s="1" t="n">
        <f aca="false">MONTH(A100)</f>
        <v>12</v>
      </c>
      <c r="G100" s="1" t="n">
        <f aca="false">(YEAR(close_date)-YEAR(A100))*12+MONTH(close_date)-MONTH(A100)</f>
        <v>1</v>
      </c>
      <c r="H100" s="8" t="n">
        <f aca="false">VLOOKUP(B100&amp;C100&amp;G100,cf!D:E,2,FALSE())</f>
        <v>0.673013</v>
      </c>
      <c r="I100" s="45" t="n">
        <f aca="false">D100/H100</f>
        <v>32653911.3063195</v>
      </c>
    </row>
    <row r="101" customFormat="false" ht="12" hidden="false" customHeight="false" outlineLevel="0" collapsed="false">
      <c r="A101" s="5" t="n">
        <v>46022</v>
      </c>
      <c r="B101" s="2" t="s">
        <v>90</v>
      </c>
      <c r="C101" s="2" t="s">
        <v>16</v>
      </c>
      <c r="D101" s="93" t="n">
        <v>5554014.74</v>
      </c>
      <c r="E101" s="1" t="n">
        <f aca="false">YEAR(A101)</f>
        <v>2025</v>
      </c>
      <c r="F101" s="1" t="n">
        <f aca="false">MONTH(A101)</f>
        <v>12</v>
      </c>
      <c r="G101" s="1" t="n">
        <f aca="false">(YEAR(close_date)-YEAR(A101))*12+MONTH(close_date)-MONTH(A101)</f>
        <v>1</v>
      </c>
      <c r="H101" s="8" t="n">
        <f aca="false">VLOOKUP(B101&amp;C101&amp;G101,cf!D:E,2,FALSE())</f>
        <v>0.316003</v>
      </c>
      <c r="I101" s="45" t="n">
        <f aca="false">D101/H101</f>
        <v>17575829.1535207</v>
      </c>
    </row>
    <row r="102" customFormat="false" ht="12" hidden="false" customHeight="false" outlineLevel="0" collapsed="false">
      <c r="A102" s="5" t="n">
        <v>46022</v>
      </c>
      <c r="B102" s="2" t="s">
        <v>90</v>
      </c>
      <c r="C102" s="2" t="s">
        <v>53</v>
      </c>
      <c r="D102" s="93" t="n">
        <v>13703206.57</v>
      </c>
      <c r="E102" s="1" t="n">
        <f aca="false">YEAR(A102)</f>
        <v>2025</v>
      </c>
      <c r="F102" s="1" t="n">
        <f aca="false">MONTH(A102)</f>
        <v>12</v>
      </c>
      <c r="G102" s="1" t="n">
        <f aca="false">(YEAR(close_date)-YEAR(A102))*12+MONTH(close_date)-MONTH(A102)</f>
        <v>1</v>
      </c>
      <c r="H102" s="8" t="n">
        <f aca="false">VLOOKUP(B102&amp;C102&amp;G102,cf!D:E,2,FALSE())</f>
        <v>0.568638</v>
      </c>
      <c r="I102" s="45" t="n">
        <f aca="false">D102/H102</f>
        <v>24098295.5236899</v>
      </c>
    </row>
    <row r="103" customFormat="false" ht="12" hidden="false" customHeight="false" outlineLevel="0" collapsed="false">
      <c r="A103" s="5" t="n">
        <v>46053</v>
      </c>
      <c r="B103" s="2" t="s">
        <v>15</v>
      </c>
      <c r="C103" s="2" t="s">
        <v>16</v>
      </c>
      <c r="D103" s="93" t="n">
        <v>290581.26</v>
      </c>
      <c r="E103" s="94" t="n">
        <f aca="false">YEAR(A103)</f>
        <v>2026</v>
      </c>
      <c r="F103" s="94" t="n">
        <f aca="false">MONTH(A103)</f>
        <v>1</v>
      </c>
      <c r="G103" s="94" t="n">
        <f aca="false">(YEAR(close_date)-YEAR(A103))*12+MONTH(close_date)-MONTH(A103)</f>
        <v>0</v>
      </c>
      <c r="H103" s="95" t="n">
        <f aca="false">VLOOKUP(B103&amp;C103&amp;G103,cf!D:E,2,FALSE())</f>
        <v>0.026009</v>
      </c>
      <c r="I103" s="45" t="n">
        <f aca="false">D103/H103</f>
        <v>11172334.960975</v>
      </c>
    </row>
    <row r="104" customFormat="false" ht="12" hidden="false" customHeight="false" outlineLevel="0" collapsed="false">
      <c r="A104" s="5" t="n">
        <v>46053</v>
      </c>
      <c r="B104" s="2" t="s">
        <v>15</v>
      </c>
      <c r="C104" s="2" t="s">
        <v>53</v>
      </c>
      <c r="D104" s="93" t="n">
        <v>2492043.41</v>
      </c>
      <c r="E104" s="94" t="n">
        <f aca="false">YEAR(A104)</f>
        <v>2026</v>
      </c>
      <c r="F104" s="94" t="n">
        <f aca="false">MONTH(A104)</f>
        <v>1</v>
      </c>
      <c r="G104" s="94" t="n">
        <f aca="false">(YEAR(close_date)-YEAR(A104))*12+MONTH(close_date)-MONTH(A104)</f>
        <v>0</v>
      </c>
      <c r="H104" s="95" t="n">
        <f aca="false">VLOOKUP(B104&amp;C104&amp;G104,cf!D:E,2,FALSE())</f>
        <v>0.072995</v>
      </c>
      <c r="I104" s="45" t="n">
        <f aca="false">D104/H104</f>
        <v>34139919.3095418</v>
      </c>
    </row>
    <row r="105" customFormat="false" ht="12" hidden="false" customHeight="false" outlineLevel="0" collapsed="false">
      <c r="A105" s="5" t="n">
        <v>46053</v>
      </c>
      <c r="B105" s="2" t="s">
        <v>90</v>
      </c>
      <c r="C105" s="2" t="s">
        <v>16</v>
      </c>
      <c r="D105" s="93" t="n">
        <v>221776.66</v>
      </c>
      <c r="E105" s="94" t="n">
        <f aca="false">YEAR(A105)</f>
        <v>2026</v>
      </c>
      <c r="F105" s="94" t="n">
        <f aca="false">MONTH(A105)</f>
        <v>1</v>
      </c>
      <c r="G105" s="94" t="n">
        <f aca="false">(YEAR(close_date)-YEAR(A105))*12+MONTH(close_date)-MONTH(A105)</f>
        <v>0</v>
      </c>
      <c r="H105" s="95" t="n">
        <f aca="false">VLOOKUP(B105&amp;C105&amp;G105,cf!D:E,2,FALSE())</f>
        <v>0.019352</v>
      </c>
      <c r="I105" s="45" t="n">
        <f aca="false">D105/H105</f>
        <v>11460141.5874328</v>
      </c>
    </row>
    <row r="106" customFormat="false" ht="12" hidden="false" customHeight="false" outlineLevel="0" collapsed="false">
      <c r="A106" s="5" t="n">
        <v>46053</v>
      </c>
      <c r="B106" s="2" t="s">
        <v>90</v>
      </c>
      <c r="C106" s="2" t="s">
        <v>53</v>
      </c>
      <c r="D106" s="93" t="n">
        <v>704567.07</v>
      </c>
      <c r="E106" s="94" t="n">
        <f aca="false">YEAR(A106)</f>
        <v>2026</v>
      </c>
      <c r="F106" s="94" t="n">
        <f aca="false">MONTH(A106)</f>
        <v>1</v>
      </c>
      <c r="G106" s="94" t="n">
        <f aca="false">(YEAR(close_date)-YEAR(A106))*12+MONTH(close_date)-MONTH(A106)</f>
        <v>0</v>
      </c>
      <c r="H106" s="95" t="n">
        <f aca="false">VLOOKUP(B106&amp;C106&amp;G106,cf!D:E,2,FALSE())</f>
        <v>0.047576</v>
      </c>
      <c r="I106" s="45" t="n">
        <f aca="false">D106/H106</f>
        <v>14809296.0736506</v>
      </c>
    </row>
    <row r="107" customFormat="false" ht="12" hidden="false" customHeight="false" outlineLevel="0" collapsed="false">
      <c r="A107" s="5"/>
      <c r="B107" s="2"/>
      <c r="C107" s="2"/>
      <c r="D107" s="93"/>
      <c r="E107" s="93"/>
      <c r="F107" s="93"/>
      <c r="G107" s="93"/>
      <c r="H107" s="93"/>
      <c r="I107" s="93"/>
    </row>
    <row r="108" customFormat="false" ht="12" hidden="false" customHeight="false" outlineLevel="0" collapsed="false">
      <c r="A108" s="5"/>
      <c r="B108" s="2"/>
      <c r="C108" s="2"/>
      <c r="D108" s="93"/>
      <c r="E108" s="93"/>
      <c r="F108" s="93"/>
      <c r="G108" s="93"/>
      <c r="H108" s="93"/>
      <c r="I108" s="93"/>
    </row>
    <row r="109" customFormat="false" ht="12" hidden="false" customHeight="false" outlineLevel="0" collapsed="false">
      <c r="A109" s="5"/>
      <c r="B109" s="2"/>
      <c r="C109" s="2"/>
      <c r="D109" s="93"/>
      <c r="E109" s="93"/>
      <c r="F109" s="93"/>
      <c r="G109" s="93"/>
      <c r="H109" s="93"/>
      <c r="I109" s="93"/>
    </row>
    <row r="110" customFormat="false" ht="12" hidden="false" customHeight="false" outlineLevel="0" collapsed="false">
      <c r="A110" s="5"/>
      <c r="B110" s="2"/>
      <c r="C110" s="2"/>
      <c r="D110" s="93"/>
      <c r="E110" s="93"/>
      <c r="F110" s="93"/>
      <c r="G110" s="93"/>
      <c r="H110" s="93"/>
      <c r="I110" s="93"/>
    </row>
    <row r="111" customFormat="false" ht="12" hidden="false" customHeight="false" outlineLevel="0" collapsed="false">
      <c r="A111" s="5"/>
      <c r="B111" s="2"/>
      <c r="C111" s="2"/>
      <c r="D111" s="93"/>
      <c r="E111" s="93"/>
      <c r="F111" s="93"/>
      <c r="G111" s="93"/>
      <c r="H111" s="93"/>
      <c r="I111" s="93"/>
    </row>
    <row r="112" customFormat="false" ht="12" hidden="false" customHeight="false" outlineLevel="0" collapsed="false">
      <c r="A112" s="5"/>
      <c r="B112" s="2"/>
      <c r="C112" s="2"/>
      <c r="D112" s="93"/>
      <c r="E112" s="93"/>
      <c r="F112" s="93"/>
      <c r="G112" s="93"/>
      <c r="H112" s="93"/>
      <c r="I112" s="93"/>
    </row>
    <row r="113" customFormat="false" ht="12" hidden="false" customHeight="false" outlineLevel="0" collapsed="false">
      <c r="A113" s="5"/>
      <c r="B113" s="2"/>
      <c r="C113" s="2"/>
      <c r="D113" s="93"/>
      <c r="E113" s="93"/>
      <c r="F113" s="93"/>
      <c r="G113" s="93"/>
      <c r="H113" s="93"/>
      <c r="I113" s="93"/>
    </row>
    <row r="114" customFormat="false" ht="12" hidden="false" customHeight="false" outlineLevel="0" collapsed="false">
      <c r="A114" s="5"/>
      <c r="B114" s="2"/>
      <c r="C114" s="2"/>
      <c r="D114" s="93"/>
      <c r="E114" s="93"/>
      <c r="F114" s="93"/>
      <c r="G114" s="93"/>
      <c r="H114" s="93"/>
      <c r="I114" s="93"/>
    </row>
    <row r="115" customFormat="false" ht="12" hidden="false" customHeight="false" outlineLevel="0" collapsed="false">
      <c r="A115" s="5"/>
      <c r="B115" s="2"/>
      <c r="C115" s="2"/>
      <c r="D115" s="93"/>
      <c r="E115" s="93"/>
      <c r="F115" s="93"/>
      <c r="G115" s="93"/>
      <c r="H115" s="93"/>
      <c r="I115" s="93"/>
    </row>
    <row r="116" customFormat="false" ht="12" hidden="false" customHeight="false" outlineLevel="0" collapsed="false">
      <c r="A116" s="5"/>
      <c r="B116" s="2"/>
      <c r="C116" s="2"/>
      <c r="D116" s="93"/>
      <c r="E116" s="93"/>
      <c r="F116" s="93"/>
      <c r="G116" s="93"/>
      <c r="H116" s="93"/>
      <c r="I116" s="93"/>
    </row>
    <row r="117" customFormat="false" ht="12" hidden="false" customHeight="false" outlineLevel="0" collapsed="false">
      <c r="A117" s="5"/>
      <c r="B117" s="2"/>
      <c r="C117" s="2"/>
      <c r="D117" s="93"/>
      <c r="E117" s="93"/>
      <c r="F117" s="93"/>
      <c r="G117" s="93"/>
      <c r="H117" s="93"/>
      <c r="I117" s="93"/>
    </row>
    <row r="118" customFormat="false" ht="12" hidden="false" customHeight="false" outlineLevel="0" collapsed="false">
      <c r="A118" s="5"/>
      <c r="B118" s="2"/>
      <c r="C118" s="2"/>
      <c r="D118" s="93"/>
      <c r="E118" s="93"/>
      <c r="F118" s="93"/>
      <c r="G118" s="93"/>
      <c r="H118" s="93"/>
      <c r="I118" s="93"/>
    </row>
    <row r="119" customFormat="false" ht="12" hidden="false" customHeight="false" outlineLevel="0" collapsed="false">
      <c r="A119" s="5"/>
      <c r="B119" s="2"/>
      <c r="C119" s="2"/>
      <c r="D119" s="93"/>
      <c r="E119" s="93"/>
      <c r="F119" s="93"/>
      <c r="G119" s="93"/>
      <c r="H119" s="93"/>
      <c r="I119" s="93"/>
    </row>
    <row r="120" customFormat="false" ht="12" hidden="false" customHeight="false" outlineLevel="0" collapsed="false">
      <c r="A120" s="5"/>
      <c r="B120" s="2"/>
      <c r="C120" s="2"/>
      <c r="D120" s="93"/>
      <c r="E120" s="93"/>
      <c r="F120" s="93"/>
      <c r="G120" s="93"/>
      <c r="H120" s="93"/>
      <c r="I120" s="93"/>
    </row>
    <row r="121" customFormat="false" ht="12" hidden="false" customHeight="false" outlineLevel="0" collapsed="false">
      <c r="A121" s="5"/>
      <c r="B121" s="2"/>
      <c r="C121" s="2"/>
      <c r="D121" s="93"/>
      <c r="E121" s="93"/>
      <c r="F121" s="93"/>
      <c r="G121" s="93"/>
      <c r="H121" s="93"/>
      <c r="I121" s="93"/>
    </row>
    <row r="122" customFormat="false" ht="12" hidden="false" customHeight="false" outlineLevel="0" collapsed="false">
      <c r="A122" s="5"/>
      <c r="B122" s="2"/>
      <c r="C122" s="2"/>
      <c r="D122" s="93"/>
      <c r="E122" s="93"/>
      <c r="F122" s="93"/>
      <c r="G122" s="93"/>
      <c r="H122" s="93"/>
      <c r="I122" s="93"/>
    </row>
    <row r="123" customFormat="false" ht="12" hidden="false" customHeight="false" outlineLevel="0" collapsed="false">
      <c r="A123" s="5"/>
      <c r="B123" s="2"/>
      <c r="C123" s="2"/>
      <c r="D123" s="93"/>
      <c r="E123" s="93"/>
      <c r="F123" s="93"/>
      <c r="G123" s="93"/>
      <c r="H123" s="93"/>
      <c r="I123" s="93"/>
    </row>
    <row r="124" customFormat="false" ht="12" hidden="false" customHeight="false" outlineLevel="0" collapsed="false">
      <c r="A124" s="5"/>
      <c r="B124" s="2"/>
      <c r="C124" s="2"/>
      <c r="D124" s="93"/>
      <c r="E124" s="93"/>
      <c r="F124" s="93"/>
      <c r="G124" s="93"/>
      <c r="H124" s="93"/>
      <c r="I124" s="93"/>
    </row>
    <row r="125" customFormat="false" ht="12" hidden="false" customHeight="false" outlineLevel="0" collapsed="false">
      <c r="A125" s="5"/>
      <c r="B125" s="2"/>
      <c r="C125" s="2"/>
      <c r="D125" s="93"/>
      <c r="E125" s="93"/>
      <c r="F125" s="93"/>
      <c r="G125" s="93"/>
      <c r="H125" s="93"/>
      <c r="I125" s="93"/>
    </row>
    <row r="126" customFormat="false" ht="12" hidden="false" customHeight="false" outlineLevel="0" collapsed="false">
      <c r="A126" s="5"/>
      <c r="B126" s="2"/>
      <c r="C126" s="2"/>
      <c r="D126" s="93"/>
      <c r="E126" s="93"/>
      <c r="F126" s="93"/>
      <c r="G126" s="93"/>
      <c r="H126" s="93"/>
      <c r="I126" s="93"/>
    </row>
    <row r="127" customFormat="false" ht="12" hidden="false" customHeight="false" outlineLevel="0" collapsed="false">
      <c r="A127" s="5"/>
      <c r="B127" s="2"/>
      <c r="C127" s="2"/>
      <c r="D127" s="93"/>
      <c r="E127" s="93"/>
      <c r="F127" s="93"/>
      <c r="G127" s="93"/>
      <c r="H127" s="93"/>
      <c r="I127" s="93"/>
    </row>
    <row r="128" customFormat="false" ht="12" hidden="false" customHeight="false" outlineLevel="0" collapsed="false">
      <c r="A128" s="5"/>
      <c r="B128" s="2"/>
      <c r="C128" s="2"/>
      <c r="D128" s="93"/>
      <c r="E128" s="93"/>
      <c r="F128" s="93"/>
      <c r="G128" s="93"/>
      <c r="H128" s="93"/>
      <c r="I128" s="93"/>
    </row>
    <row r="129" customFormat="false" ht="12" hidden="false" customHeight="false" outlineLevel="0" collapsed="false">
      <c r="A129" s="5"/>
      <c r="B129" s="2"/>
      <c r="C129" s="2"/>
      <c r="D129" s="93"/>
      <c r="E129" s="93"/>
      <c r="F129" s="93"/>
      <c r="G129" s="93"/>
      <c r="H129" s="93"/>
      <c r="I129" s="93"/>
    </row>
    <row r="130" customFormat="false" ht="12" hidden="false" customHeight="false" outlineLevel="0" collapsed="false">
      <c r="A130" s="5"/>
      <c r="B130" s="2"/>
      <c r="C130" s="2"/>
      <c r="D130" s="93"/>
      <c r="E130" s="93"/>
      <c r="F130" s="93"/>
      <c r="G130" s="93"/>
      <c r="H130" s="93"/>
      <c r="I130" s="93"/>
    </row>
    <row r="131" customFormat="false" ht="12" hidden="false" customHeight="false" outlineLevel="0" collapsed="false">
      <c r="A131" s="5"/>
      <c r="B131" s="2"/>
      <c r="C131" s="2"/>
      <c r="D131" s="93"/>
      <c r="E131" s="93"/>
      <c r="F131" s="93"/>
      <c r="G131" s="93"/>
      <c r="H131" s="93"/>
      <c r="I131" s="93"/>
    </row>
    <row r="132" customFormat="false" ht="12" hidden="false" customHeight="false" outlineLevel="0" collapsed="false">
      <c r="A132" s="5"/>
      <c r="B132" s="2"/>
      <c r="C132" s="2"/>
      <c r="D132" s="93"/>
      <c r="E132" s="93"/>
      <c r="F132" s="93"/>
      <c r="G132" s="93"/>
      <c r="H132" s="93"/>
      <c r="I132" s="93"/>
    </row>
    <row r="133" customFormat="false" ht="12" hidden="false" customHeight="false" outlineLevel="0" collapsed="false">
      <c r="A133" s="5"/>
      <c r="B133" s="2"/>
      <c r="C133" s="2"/>
      <c r="D133" s="93"/>
      <c r="E133" s="93"/>
      <c r="F133" s="93"/>
      <c r="G133" s="93"/>
      <c r="H133" s="93"/>
      <c r="I133" s="93"/>
    </row>
    <row r="134" customFormat="false" ht="12" hidden="false" customHeight="false" outlineLevel="0" collapsed="false">
      <c r="A134" s="5"/>
      <c r="B134" s="2"/>
      <c r="C134" s="2"/>
      <c r="D134" s="93"/>
      <c r="E134" s="93"/>
      <c r="F134" s="93"/>
      <c r="G134" s="93"/>
      <c r="H134" s="93"/>
      <c r="I134" s="93"/>
    </row>
    <row r="135" customFormat="false" ht="12" hidden="false" customHeight="false" outlineLevel="0" collapsed="false">
      <c r="A135" s="5"/>
      <c r="B135" s="2"/>
      <c r="C135" s="2"/>
      <c r="D135" s="93"/>
      <c r="E135" s="93"/>
      <c r="F135" s="93"/>
      <c r="G135" s="93"/>
      <c r="H135" s="93"/>
      <c r="I135" s="93"/>
    </row>
    <row r="136" customFormat="false" ht="12" hidden="false" customHeight="false" outlineLevel="0" collapsed="false">
      <c r="A136" s="5"/>
      <c r="B136" s="2"/>
      <c r="C136" s="2"/>
      <c r="D136" s="93"/>
      <c r="E136" s="93"/>
      <c r="F136" s="93"/>
      <c r="G136" s="93"/>
      <c r="H136" s="93"/>
      <c r="I136" s="93"/>
    </row>
    <row r="137" customFormat="false" ht="12" hidden="false" customHeight="false" outlineLevel="0" collapsed="false">
      <c r="A137" s="5"/>
      <c r="B137" s="2"/>
      <c r="C137" s="2"/>
      <c r="D137" s="93"/>
      <c r="E137" s="93"/>
      <c r="F137" s="93"/>
      <c r="G137" s="93"/>
      <c r="H137" s="93"/>
      <c r="I137" s="93"/>
    </row>
    <row r="138" customFormat="false" ht="12" hidden="false" customHeight="false" outlineLevel="0" collapsed="false">
      <c r="A138" s="5"/>
      <c r="B138" s="2"/>
      <c r="C138" s="2"/>
      <c r="D138" s="93"/>
      <c r="E138" s="93"/>
      <c r="F138" s="93"/>
      <c r="G138" s="93"/>
      <c r="H138" s="93"/>
      <c r="I138" s="93"/>
    </row>
    <row r="139" customFormat="false" ht="12" hidden="false" customHeight="false" outlineLevel="0" collapsed="false">
      <c r="A139" s="5"/>
      <c r="B139" s="2"/>
      <c r="C139" s="2"/>
      <c r="D139" s="93"/>
      <c r="E139" s="93"/>
      <c r="F139" s="93"/>
      <c r="G139" s="93"/>
      <c r="H139" s="93"/>
      <c r="I139" s="93"/>
    </row>
    <row r="140" customFormat="false" ht="12" hidden="false" customHeight="false" outlineLevel="0" collapsed="false">
      <c r="A140" s="5"/>
      <c r="B140" s="2"/>
      <c r="C140" s="2"/>
      <c r="D140" s="93"/>
      <c r="E140" s="93"/>
      <c r="F140" s="93"/>
      <c r="G140" s="93"/>
      <c r="H140" s="93"/>
      <c r="I140" s="93"/>
    </row>
    <row r="141" customFormat="false" ht="12" hidden="false" customHeight="false" outlineLevel="0" collapsed="false">
      <c r="A141" s="5"/>
      <c r="B141" s="2"/>
      <c r="C141" s="2"/>
      <c r="D141" s="93"/>
      <c r="E141" s="93"/>
      <c r="F141" s="93"/>
      <c r="G141" s="93"/>
      <c r="H141" s="93"/>
      <c r="I141" s="93"/>
    </row>
    <row r="142" customFormat="false" ht="12" hidden="false" customHeight="false" outlineLevel="0" collapsed="false">
      <c r="A142" s="5"/>
      <c r="B142" s="2"/>
      <c r="C142" s="2"/>
      <c r="D142" s="93"/>
      <c r="E142" s="93"/>
      <c r="F142" s="93"/>
      <c r="G142" s="93"/>
      <c r="H142" s="93"/>
      <c r="I142" s="93"/>
    </row>
    <row r="143" customFormat="false" ht="12" hidden="false" customHeight="false" outlineLevel="0" collapsed="false">
      <c r="A143" s="5"/>
      <c r="B143" s="2"/>
      <c r="C143" s="2"/>
      <c r="D143" s="93"/>
      <c r="E143" s="93"/>
      <c r="F143" s="93"/>
      <c r="G143" s="93"/>
      <c r="H143" s="93"/>
      <c r="I143" s="93"/>
    </row>
    <row r="144" customFormat="false" ht="12" hidden="false" customHeight="false" outlineLevel="0" collapsed="false">
      <c r="A144" s="5"/>
      <c r="B144" s="2"/>
      <c r="C144" s="2"/>
      <c r="D144" s="93"/>
      <c r="E144" s="93"/>
      <c r="F144" s="93"/>
      <c r="G144" s="93"/>
      <c r="H144" s="93"/>
      <c r="I144" s="93"/>
    </row>
    <row r="145" customFormat="false" ht="12" hidden="false" customHeight="false" outlineLevel="0" collapsed="false">
      <c r="A145" s="5"/>
      <c r="B145" s="2"/>
      <c r="C145" s="2"/>
      <c r="D145" s="93"/>
      <c r="E145" s="93"/>
      <c r="F145" s="93"/>
      <c r="G145" s="93"/>
      <c r="H145" s="93"/>
      <c r="I145" s="93"/>
    </row>
    <row r="146" customFormat="false" ht="12" hidden="false" customHeight="false" outlineLevel="0" collapsed="false">
      <c r="A146" s="5"/>
      <c r="B146" s="2"/>
      <c r="C146" s="2"/>
      <c r="D146" s="93"/>
      <c r="E146" s="93"/>
      <c r="F146" s="93"/>
      <c r="G146" s="93"/>
      <c r="H146" s="93"/>
      <c r="I146" s="93"/>
    </row>
    <row r="147" customFormat="false" ht="12" hidden="false" customHeight="false" outlineLevel="0" collapsed="false">
      <c r="A147" s="5"/>
      <c r="B147" s="2"/>
      <c r="C147" s="2"/>
      <c r="D147" s="93"/>
      <c r="E147" s="93"/>
      <c r="F147" s="93"/>
      <c r="G147" s="93"/>
      <c r="H147" s="93"/>
      <c r="I147" s="93"/>
    </row>
    <row r="148" customFormat="false" ht="12" hidden="false" customHeight="false" outlineLevel="0" collapsed="false">
      <c r="A148" s="5"/>
      <c r="B148" s="2"/>
      <c r="C148" s="2"/>
      <c r="D148" s="93"/>
      <c r="E148" s="93"/>
      <c r="F148" s="93"/>
      <c r="G148" s="93"/>
      <c r="H148" s="93"/>
      <c r="I148" s="93"/>
    </row>
    <row r="149" customFormat="false" ht="12" hidden="false" customHeight="false" outlineLevel="0" collapsed="false">
      <c r="A149" s="5"/>
      <c r="B149" s="2"/>
      <c r="C149" s="2"/>
      <c r="D149" s="93"/>
      <c r="E149" s="93"/>
      <c r="F149" s="93"/>
      <c r="G149" s="93"/>
      <c r="H149" s="93"/>
      <c r="I149" s="93"/>
    </row>
    <row r="150" customFormat="false" ht="12" hidden="false" customHeight="false" outlineLevel="0" collapsed="false">
      <c r="A150" s="5"/>
      <c r="B150" s="2"/>
      <c r="C150" s="2"/>
      <c r="D150" s="93"/>
      <c r="E150" s="93"/>
      <c r="F150" s="93"/>
      <c r="G150" s="93"/>
      <c r="H150" s="93"/>
      <c r="I150" s="93"/>
    </row>
    <row r="151" customFormat="false" ht="12" hidden="false" customHeight="false" outlineLevel="0" collapsed="false">
      <c r="A151" s="5"/>
      <c r="B151" s="2"/>
      <c r="C151" s="2"/>
      <c r="D151" s="93"/>
      <c r="E151" s="93"/>
      <c r="F151" s="93"/>
      <c r="G151" s="93"/>
      <c r="H151" s="93"/>
      <c r="I151" s="93"/>
    </row>
    <row r="152" customFormat="false" ht="12" hidden="false" customHeight="false" outlineLevel="0" collapsed="false">
      <c r="A152" s="5"/>
      <c r="B152" s="2"/>
      <c r="C152" s="2"/>
      <c r="D152" s="93"/>
      <c r="E152" s="93"/>
      <c r="F152" s="93"/>
      <c r="G152" s="93"/>
      <c r="H152" s="93"/>
      <c r="I152" s="93"/>
    </row>
    <row r="153" customFormat="false" ht="12" hidden="false" customHeight="false" outlineLevel="0" collapsed="false">
      <c r="A153" s="5"/>
      <c r="B153" s="2"/>
      <c r="C153" s="2"/>
      <c r="D153" s="93"/>
      <c r="E153" s="93"/>
      <c r="F153" s="93"/>
      <c r="G153" s="93"/>
      <c r="H153" s="93"/>
      <c r="I153" s="93"/>
    </row>
    <row r="154" customFormat="false" ht="12" hidden="false" customHeight="false" outlineLevel="0" collapsed="false">
      <c r="A154" s="5"/>
      <c r="B154" s="2"/>
      <c r="C154" s="2"/>
      <c r="D154" s="93"/>
      <c r="E154" s="93"/>
      <c r="F154" s="93"/>
      <c r="G154" s="93"/>
      <c r="H154" s="93"/>
      <c r="I154" s="93"/>
    </row>
    <row r="155" customFormat="false" ht="12" hidden="false" customHeight="false" outlineLevel="0" collapsed="false">
      <c r="A155" s="5"/>
      <c r="B155" s="2"/>
      <c r="C155" s="2"/>
      <c r="D155" s="93"/>
      <c r="E155" s="93"/>
      <c r="F155" s="93"/>
      <c r="G155" s="93"/>
      <c r="H155" s="93"/>
      <c r="I155" s="93"/>
    </row>
    <row r="156" customFormat="false" ht="12" hidden="false" customHeight="false" outlineLevel="0" collapsed="false">
      <c r="A156" s="5"/>
      <c r="B156" s="2"/>
      <c r="C156" s="2"/>
      <c r="D156" s="93"/>
      <c r="E156" s="93"/>
      <c r="F156" s="93"/>
      <c r="G156" s="93"/>
      <c r="H156" s="93"/>
      <c r="I156" s="93"/>
    </row>
    <row r="157" customFormat="false" ht="12" hidden="false" customHeight="false" outlineLevel="0" collapsed="false">
      <c r="A157" s="5"/>
      <c r="B157" s="2"/>
      <c r="C157" s="2"/>
      <c r="D157" s="93"/>
      <c r="E157" s="93"/>
      <c r="F157" s="93"/>
      <c r="G157" s="93"/>
      <c r="H157" s="93"/>
      <c r="I157" s="93"/>
    </row>
    <row r="158" customFormat="false" ht="12" hidden="false" customHeight="false" outlineLevel="0" collapsed="false">
      <c r="A158" s="5"/>
      <c r="B158" s="2"/>
      <c r="C158" s="2"/>
      <c r="D158" s="93"/>
      <c r="E158" s="93"/>
      <c r="F158" s="93"/>
      <c r="G158" s="93"/>
      <c r="H158" s="93"/>
      <c r="I158" s="93"/>
    </row>
    <row r="159" customFormat="false" ht="12" hidden="false" customHeight="false" outlineLevel="0" collapsed="false">
      <c r="A159" s="5"/>
      <c r="B159" s="2"/>
      <c r="C159" s="2"/>
      <c r="D159" s="93"/>
      <c r="E159" s="93"/>
      <c r="F159" s="93"/>
      <c r="G159" s="93"/>
      <c r="H159" s="93"/>
      <c r="I159" s="93"/>
    </row>
    <row r="160" customFormat="false" ht="12" hidden="false" customHeight="false" outlineLevel="0" collapsed="false">
      <c r="A160" s="5"/>
      <c r="B160" s="2"/>
      <c r="C160" s="2"/>
      <c r="D160" s="93"/>
      <c r="E160" s="93"/>
      <c r="F160" s="93"/>
      <c r="G160" s="93"/>
      <c r="H160" s="93"/>
      <c r="I160" s="93"/>
    </row>
    <row r="161" customFormat="false" ht="12" hidden="false" customHeight="false" outlineLevel="0" collapsed="false">
      <c r="A161" s="5"/>
      <c r="B161" s="2"/>
      <c r="C161" s="2"/>
      <c r="D161" s="93"/>
      <c r="E161" s="93"/>
      <c r="F161" s="93"/>
      <c r="G161" s="93"/>
      <c r="H161" s="93"/>
      <c r="I161" s="93"/>
    </row>
    <row r="162" customFormat="false" ht="12" hidden="false" customHeight="false" outlineLevel="0" collapsed="false">
      <c r="A162" s="5"/>
      <c r="B162" s="2"/>
      <c r="C162" s="2"/>
      <c r="D162" s="93"/>
      <c r="E162" s="93"/>
      <c r="F162" s="93"/>
      <c r="G162" s="93"/>
      <c r="H162" s="93"/>
      <c r="I162" s="93"/>
    </row>
    <row r="163" customFormat="false" ht="12" hidden="false" customHeight="false" outlineLevel="0" collapsed="false">
      <c r="A163" s="5"/>
      <c r="B163" s="2"/>
      <c r="C163" s="2"/>
      <c r="D163" s="93"/>
      <c r="E163" s="93"/>
      <c r="F163" s="93"/>
      <c r="G163" s="93"/>
      <c r="H163" s="93"/>
      <c r="I163" s="93"/>
    </row>
    <row r="164" customFormat="false" ht="12" hidden="false" customHeight="false" outlineLevel="0" collapsed="false">
      <c r="A164" s="5"/>
      <c r="B164" s="2"/>
      <c r="C164" s="2"/>
      <c r="D164" s="93"/>
      <c r="E164" s="93"/>
      <c r="F164" s="93"/>
      <c r="G164" s="93"/>
      <c r="H164" s="93"/>
      <c r="I164" s="93"/>
    </row>
    <row r="165" customFormat="false" ht="12" hidden="false" customHeight="false" outlineLevel="0" collapsed="false">
      <c r="A165" s="5"/>
      <c r="B165" s="2"/>
      <c r="C165" s="2"/>
      <c r="D165" s="93"/>
      <c r="E165" s="93"/>
      <c r="F165" s="93"/>
      <c r="G165" s="93"/>
      <c r="H165" s="93"/>
      <c r="I165" s="93"/>
    </row>
    <row r="166" customFormat="false" ht="12" hidden="false" customHeight="false" outlineLevel="0" collapsed="false">
      <c r="A166" s="5"/>
      <c r="B166" s="2"/>
      <c r="C166" s="2"/>
      <c r="D166" s="93"/>
      <c r="E166" s="93"/>
      <c r="F166" s="93"/>
      <c r="G166" s="93"/>
      <c r="H166" s="93"/>
      <c r="I166" s="93"/>
    </row>
    <row r="167" customFormat="false" ht="12" hidden="false" customHeight="false" outlineLevel="0" collapsed="false">
      <c r="A167" s="5"/>
      <c r="B167" s="2"/>
      <c r="C167" s="2"/>
      <c r="D167" s="93"/>
      <c r="E167" s="93"/>
      <c r="F167" s="93"/>
      <c r="G167" s="93"/>
      <c r="H167" s="93"/>
      <c r="I167" s="93"/>
    </row>
    <row r="168" customFormat="false" ht="12" hidden="false" customHeight="false" outlineLevel="0" collapsed="false">
      <c r="A168" s="5"/>
      <c r="B168" s="2"/>
      <c r="C168" s="2"/>
      <c r="D168" s="93"/>
      <c r="E168" s="93"/>
      <c r="F168" s="93"/>
      <c r="G168" s="93"/>
      <c r="H168" s="93"/>
      <c r="I168" s="93"/>
    </row>
    <row r="169" customFormat="false" ht="12" hidden="false" customHeight="false" outlineLevel="0" collapsed="false">
      <c r="A169" s="5"/>
      <c r="B169" s="2"/>
      <c r="C169" s="2"/>
      <c r="D169" s="93"/>
      <c r="E169" s="93"/>
      <c r="F169" s="93"/>
      <c r="G169" s="93"/>
      <c r="H169" s="93"/>
      <c r="I169" s="93"/>
    </row>
    <row r="170" customFormat="false" ht="12" hidden="false" customHeight="false" outlineLevel="0" collapsed="false">
      <c r="A170" s="5"/>
      <c r="B170" s="2"/>
      <c r="C170" s="2"/>
      <c r="D170" s="93"/>
      <c r="E170" s="93"/>
      <c r="F170" s="93"/>
      <c r="G170" s="93"/>
      <c r="H170" s="93"/>
      <c r="I170" s="93"/>
    </row>
    <row r="171" customFormat="false" ht="12" hidden="false" customHeight="false" outlineLevel="0" collapsed="false">
      <c r="A171" s="5"/>
      <c r="B171" s="2"/>
      <c r="C171" s="2"/>
      <c r="D171" s="93"/>
      <c r="E171" s="93"/>
      <c r="F171" s="93"/>
      <c r="G171" s="93"/>
      <c r="H171" s="93"/>
      <c r="I171" s="93"/>
    </row>
    <row r="172" customFormat="false" ht="12" hidden="false" customHeight="false" outlineLevel="0" collapsed="false">
      <c r="A172" s="5"/>
      <c r="B172" s="2"/>
      <c r="C172" s="2"/>
      <c r="D172" s="93"/>
      <c r="E172" s="93"/>
      <c r="F172" s="93"/>
      <c r="G172" s="93"/>
      <c r="H172" s="93"/>
      <c r="I172" s="93"/>
    </row>
    <row r="173" customFormat="false" ht="12" hidden="false" customHeight="false" outlineLevel="0" collapsed="false">
      <c r="A173" s="5"/>
      <c r="B173" s="2"/>
      <c r="C173" s="2"/>
      <c r="D173" s="93"/>
      <c r="E173" s="93"/>
      <c r="F173" s="93"/>
      <c r="G173" s="93"/>
      <c r="H173" s="93"/>
      <c r="I173" s="93"/>
    </row>
    <row r="174" customFormat="false" ht="12" hidden="false" customHeight="false" outlineLevel="0" collapsed="false">
      <c r="A174" s="5"/>
      <c r="B174" s="2"/>
      <c r="C174" s="2"/>
      <c r="D174" s="93"/>
      <c r="E174" s="93"/>
      <c r="F174" s="93"/>
      <c r="G174" s="93"/>
      <c r="H174" s="93"/>
      <c r="I174" s="93"/>
    </row>
    <row r="175" customFormat="false" ht="12" hidden="false" customHeight="false" outlineLevel="0" collapsed="false">
      <c r="A175" s="5"/>
      <c r="B175" s="2"/>
      <c r="C175" s="2"/>
      <c r="D175" s="93"/>
      <c r="E175" s="93"/>
      <c r="F175" s="93"/>
      <c r="G175" s="93"/>
      <c r="H175" s="93"/>
      <c r="I175" s="93"/>
    </row>
    <row r="176" customFormat="false" ht="12" hidden="false" customHeight="false" outlineLevel="0" collapsed="false">
      <c r="A176" s="5"/>
      <c r="B176" s="2"/>
      <c r="C176" s="2"/>
      <c r="D176" s="93"/>
      <c r="E176" s="93"/>
      <c r="F176" s="93"/>
      <c r="G176" s="93"/>
      <c r="H176" s="93"/>
      <c r="I176" s="93"/>
    </row>
    <row r="177" customFormat="false" ht="12" hidden="false" customHeight="false" outlineLevel="0" collapsed="false">
      <c r="A177" s="5"/>
      <c r="B177" s="2"/>
      <c r="C177" s="2"/>
      <c r="D177" s="93"/>
      <c r="E177" s="93"/>
      <c r="F177" s="93"/>
      <c r="G177" s="93"/>
      <c r="H177" s="93"/>
      <c r="I177" s="93"/>
    </row>
    <row r="178" customFormat="false" ht="12" hidden="false" customHeight="false" outlineLevel="0" collapsed="false">
      <c r="A178" s="5"/>
      <c r="B178" s="2"/>
      <c r="C178" s="2"/>
      <c r="D178" s="93"/>
      <c r="E178" s="93"/>
      <c r="F178" s="93"/>
      <c r="G178" s="93"/>
      <c r="H178" s="93"/>
      <c r="I178" s="93"/>
    </row>
    <row r="179" customFormat="false" ht="12" hidden="false" customHeight="false" outlineLevel="0" collapsed="false">
      <c r="A179" s="5"/>
      <c r="B179" s="2"/>
      <c r="C179" s="2"/>
      <c r="D179" s="93"/>
      <c r="E179" s="93"/>
      <c r="F179" s="93"/>
      <c r="G179" s="93"/>
      <c r="H179" s="93"/>
      <c r="I179" s="93"/>
    </row>
    <row r="180" customFormat="false" ht="12" hidden="false" customHeight="false" outlineLevel="0" collapsed="false">
      <c r="A180" s="5"/>
      <c r="B180" s="2"/>
      <c r="C180" s="2"/>
      <c r="D180" s="93"/>
      <c r="E180" s="93"/>
      <c r="F180" s="93"/>
      <c r="G180" s="93"/>
      <c r="H180" s="93"/>
      <c r="I180" s="93"/>
    </row>
    <row r="181" customFormat="false" ht="12" hidden="false" customHeight="false" outlineLevel="0" collapsed="false">
      <c r="A181" s="5"/>
      <c r="B181" s="2"/>
      <c r="C181" s="2"/>
      <c r="D181" s="93"/>
      <c r="E181" s="93"/>
      <c r="F181" s="93"/>
      <c r="G181" s="93"/>
      <c r="H181" s="93"/>
      <c r="I181" s="93"/>
    </row>
    <row r="182" customFormat="false" ht="12" hidden="false" customHeight="false" outlineLevel="0" collapsed="false">
      <c r="A182" s="5"/>
      <c r="B182" s="2"/>
      <c r="C182" s="2"/>
      <c r="D182" s="93"/>
      <c r="E182" s="93"/>
      <c r="F182" s="93"/>
      <c r="G182" s="93"/>
      <c r="H182" s="93"/>
      <c r="I182" s="93"/>
    </row>
    <row r="183" customFormat="false" ht="12" hidden="false" customHeight="false" outlineLevel="0" collapsed="false">
      <c r="A183" s="5"/>
      <c r="B183" s="2"/>
      <c r="C183" s="2"/>
      <c r="D183" s="93"/>
      <c r="E183" s="93"/>
      <c r="F183" s="93"/>
      <c r="G183" s="93"/>
      <c r="H183" s="93"/>
      <c r="I183" s="93"/>
    </row>
    <row r="184" customFormat="false" ht="12" hidden="false" customHeight="false" outlineLevel="0" collapsed="false">
      <c r="A184" s="5"/>
      <c r="B184" s="2"/>
      <c r="C184" s="2"/>
      <c r="D184" s="93"/>
      <c r="E184" s="93"/>
      <c r="F184" s="93"/>
      <c r="G184" s="93"/>
      <c r="H184" s="93"/>
      <c r="I184" s="93"/>
    </row>
    <row r="185" customFormat="false" ht="12" hidden="false" customHeight="false" outlineLevel="0" collapsed="false">
      <c r="A185" s="5"/>
      <c r="B185" s="2"/>
      <c r="C185" s="2"/>
      <c r="D185" s="93"/>
      <c r="E185" s="93"/>
      <c r="F185" s="93"/>
      <c r="G185" s="93"/>
      <c r="H185" s="93"/>
      <c r="I185" s="93"/>
    </row>
    <row r="186" customFormat="false" ht="12" hidden="false" customHeight="false" outlineLevel="0" collapsed="false">
      <c r="A186" s="5"/>
      <c r="B186" s="2"/>
      <c r="C186" s="2"/>
      <c r="D186" s="93"/>
      <c r="E186" s="93"/>
      <c r="F186" s="93"/>
      <c r="G186" s="93"/>
      <c r="H186" s="93"/>
      <c r="I186" s="93"/>
    </row>
    <row r="187" customFormat="false" ht="12" hidden="false" customHeight="false" outlineLevel="0" collapsed="false">
      <c r="A187" s="5"/>
      <c r="B187" s="2"/>
      <c r="C187" s="2"/>
      <c r="D187" s="93"/>
      <c r="E187" s="93"/>
      <c r="F187" s="93"/>
      <c r="G187" s="93"/>
      <c r="H187" s="93"/>
      <c r="I187" s="93"/>
    </row>
    <row r="188" customFormat="false" ht="12" hidden="false" customHeight="false" outlineLevel="0" collapsed="false">
      <c r="A188" s="5"/>
      <c r="B188" s="2"/>
      <c r="C188" s="2"/>
      <c r="D188" s="93"/>
      <c r="E188" s="93"/>
      <c r="F188" s="93"/>
      <c r="G188" s="93"/>
      <c r="H188" s="93"/>
      <c r="I188" s="93"/>
    </row>
    <row r="189" customFormat="false" ht="12" hidden="false" customHeight="false" outlineLevel="0" collapsed="false">
      <c r="A189" s="5"/>
      <c r="B189" s="2"/>
      <c r="C189" s="2"/>
      <c r="D189" s="93"/>
      <c r="E189" s="93"/>
      <c r="F189" s="93"/>
      <c r="G189" s="93"/>
      <c r="H189" s="93"/>
      <c r="I189" s="93"/>
    </row>
    <row r="190" customFormat="false" ht="12" hidden="false" customHeight="false" outlineLevel="0" collapsed="false">
      <c r="A190" s="5"/>
      <c r="B190" s="2"/>
      <c r="C190" s="2"/>
      <c r="D190" s="93"/>
      <c r="E190" s="93"/>
      <c r="F190" s="93"/>
      <c r="G190" s="93"/>
      <c r="H190" s="93"/>
      <c r="I190" s="93"/>
    </row>
    <row r="191" customFormat="false" ht="12" hidden="false" customHeight="false" outlineLevel="0" collapsed="false">
      <c r="A191" s="5"/>
      <c r="B191" s="2"/>
      <c r="C191" s="2"/>
      <c r="D191" s="93"/>
      <c r="E191" s="93"/>
      <c r="F191" s="93"/>
      <c r="G191" s="93"/>
      <c r="H191" s="93"/>
      <c r="I191" s="93"/>
    </row>
    <row r="192" customFormat="false" ht="12" hidden="false" customHeight="false" outlineLevel="0" collapsed="false">
      <c r="A192" s="5"/>
      <c r="B192" s="2"/>
      <c r="C192" s="2"/>
      <c r="D192" s="93"/>
      <c r="E192" s="93"/>
      <c r="F192" s="93"/>
      <c r="G192" s="93"/>
      <c r="H192" s="93"/>
      <c r="I192" s="93"/>
    </row>
    <row r="193" customFormat="false" ht="12" hidden="false" customHeight="false" outlineLevel="0" collapsed="false">
      <c r="A193" s="5"/>
      <c r="B193" s="2"/>
      <c r="C193" s="2"/>
      <c r="D193" s="93"/>
      <c r="E193" s="93"/>
      <c r="F193" s="93"/>
      <c r="G193" s="93"/>
      <c r="H193" s="93"/>
      <c r="I193" s="93"/>
    </row>
    <row r="194" customFormat="false" ht="12" hidden="false" customHeight="false" outlineLevel="0" collapsed="false">
      <c r="A194" s="5"/>
      <c r="B194" s="2"/>
      <c r="C194" s="2"/>
      <c r="D194" s="93"/>
      <c r="E194" s="93"/>
      <c r="F194" s="93"/>
      <c r="G194" s="93"/>
      <c r="H194" s="93"/>
      <c r="I194" s="93"/>
    </row>
    <row r="195" customFormat="false" ht="12" hidden="false" customHeight="false" outlineLevel="0" collapsed="false">
      <c r="A195" s="5"/>
      <c r="B195" s="2"/>
      <c r="C195" s="2"/>
      <c r="D195" s="93"/>
      <c r="E195" s="93"/>
      <c r="F195" s="93"/>
      <c r="G195" s="93"/>
      <c r="H195" s="93"/>
      <c r="I195" s="93"/>
    </row>
    <row r="196" customFormat="false" ht="12" hidden="false" customHeight="false" outlineLevel="0" collapsed="false">
      <c r="A196" s="5"/>
      <c r="B196" s="2"/>
      <c r="C196" s="2"/>
      <c r="D196" s="93"/>
      <c r="E196" s="93"/>
      <c r="F196" s="93"/>
      <c r="G196" s="93"/>
      <c r="H196" s="93"/>
      <c r="I196" s="93"/>
    </row>
    <row r="197" customFormat="false" ht="12" hidden="false" customHeight="false" outlineLevel="0" collapsed="false">
      <c r="A197" s="5"/>
      <c r="B197" s="2"/>
      <c r="C197" s="2"/>
      <c r="D197" s="93"/>
      <c r="E197" s="93"/>
      <c r="F197" s="93"/>
      <c r="G197" s="93"/>
      <c r="H197" s="93"/>
      <c r="I197" s="93"/>
    </row>
    <row r="198" customFormat="false" ht="12" hidden="false" customHeight="false" outlineLevel="0" collapsed="false">
      <c r="A198" s="5"/>
      <c r="B198" s="2"/>
      <c r="C198" s="2"/>
      <c r="D198" s="93"/>
      <c r="E198" s="93"/>
      <c r="F198" s="93"/>
      <c r="G198" s="93"/>
      <c r="H198" s="93"/>
      <c r="I198" s="93"/>
    </row>
    <row r="199" customFormat="false" ht="12" hidden="false" customHeight="false" outlineLevel="0" collapsed="false">
      <c r="A199" s="5"/>
      <c r="B199" s="2"/>
      <c r="C199" s="2"/>
      <c r="D199" s="93"/>
      <c r="E199" s="93"/>
      <c r="F199" s="93"/>
      <c r="G199" s="93"/>
      <c r="H199" s="93"/>
      <c r="I199" s="93"/>
    </row>
    <row r="200" customFormat="false" ht="12" hidden="false" customHeight="false" outlineLevel="0" collapsed="false">
      <c r="A200" s="5"/>
      <c r="B200" s="2"/>
      <c r="C200" s="2"/>
      <c r="D200" s="93"/>
      <c r="E200" s="93"/>
      <c r="F200" s="93"/>
      <c r="G200" s="93"/>
      <c r="H200" s="93"/>
      <c r="I200" s="93"/>
    </row>
    <row r="201" customFormat="false" ht="12" hidden="false" customHeight="false" outlineLevel="0" collapsed="false">
      <c r="A201" s="5"/>
      <c r="B201" s="2"/>
      <c r="C201" s="2"/>
      <c r="D201" s="93"/>
      <c r="E201" s="93"/>
      <c r="F201" s="93"/>
      <c r="G201" s="93"/>
      <c r="H201" s="93"/>
      <c r="I201" s="93"/>
    </row>
    <row r="202" customFormat="false" ht="12" hidden="false" customHeight="false" outlineLevel="0" collapsed="false">
      <c r="A202" s="5"/>
      <c r="B202" s="2"/>
      <c r="C202" s="2"/>
      <c r="D202" s="93"/>
      <c r="E202" s="93"/>
      <c r="F202" s="93"/>
      <c r="G202" s="93"/>
      <c r="H202" s="93"/>
      <c r="I202" s="93"/>
    </row>
    <row r="203" customFormat="false" ht="12" hidden="false" customHeight="false" outlineLevel="0" collapsed="false">
      <c r="A203" s="5"/>
      <c r="B203" s="2"/>
      <c r="C203" s="2"/>
      <c r="D203" s="93"/>
      <c r="E203" s="93"/>
      <c r="F203" s="93"/>
      <c r="G203" s="93"/>
      <c r="H203" s="93"/>
      <c r="I203" s="93"/>
    </row>
    <row r="204" customFormat="false" ht="12" hidden="false" customHeight="false" outlineLevel="0" collapsed="false">
      <c r="A204" s="5"/>
      <c r="B204" s="2"/>
      <c r="C204" s="2"/>
      <c r="D204" s="93"/>
      <c r="E204" s="93"/>
      <c r="F204" s="93"/>
      <c r="G204" s="93"/>
      <c r="H204" s="93"/>
      <c r="I204" s="93"/>
    </row>
    <row r="205" customFormat="false" ht="12" hidden="false" customHeight="false" outlineLevel="0" collapsed="false">
      <c r="A205" s="5"/>
      <c r="B205" s="2"/>
      <c r="C205" s="2"/>
      <c r="D205" s="93"/>
      <c r="E205" s="93"/>
      <c r="F205" s="93"/>
      <c r="G205" s="93"/>
      <c r="H205" s="93"/>
      <c r="I205" s="93"/>
    </row>
    <row r="206" customFormat="false" ht="12" hidden="false" customHeight="false" outlineLevel="0" collapsed="false">
      <c r="A206" s="5"/>
      <c r="B206" s="2"/>
      <c r="C206" s="2"/>
      <c r="D206" s="93"/>
      <c r="E206" s="93"/>
      <c r="F206" s="93"/>
      <c r="G206" s="93"/>
      <c r="H206" s="93"/>
      <c r="I206" s="93"/>
    </row>
    <row r="207" customFormat="false" ht="12" hidden="false" customHeight="false" outlineLevel="0" collapsed="false">
      <c r="A207" s="5"/>
      <c r="B207" s="2"/>
      <c r="C207" s="2"/>
      <c r="D207" s="93"/>
      <c r="E207" s="93"/>
      <c r="F207" s="93"/>
      <c r="G207" s="93"/>
      <c r="H207" s="93"/>
      <c r="I207" s="93"/>
    </row>
    <row r="208" customFormat="false" ht="12" hidden="false" customHeight="false" outlineLevel="0" collapsed="false">
      <c r="A208" s="5"/>
      <c r="B208" s="2"/>
      <c r="C208" s="2"/>
      <c r="D208" s="93"/>
      <c r="E208" s="93"/>
      <c r="F208" s="93"/>
      <c r="G208" s="93"/>
      <c r="H208" s="93"/>
      <c r="I208" s="93"/>
    </row>
    <row r="209" customFormat="false" ht="12" hidden="false" customHeight="false" outlineLevel="0" collapsed="false">
      <c r="A209" s="5"/>
      <c r="B209" s="2"/>
      <c r="C209" s="2"/>
      <c r="D209" s="93"/>
      <c r="E209" s="93"/>
      <c r="F209" s="93"/>
      <c r="G209" s="93"/>
      <c r="H209" s="93"/>
      <c r="I209" s="93"/>
    </row>
    <row r="210" customFormat="false" ht="12" hidden="false" customHeight="false" outlineLevel="0" collapsed="false">
      <c r="A210" s="5"/>
      <c r="B210" s="2"/>
      <c r="C210" s="2"/>
      <c r="D210" s="93"/>
      <c r="E210" s="93"/>
      <c r="F210" s="93"/>
      <c r="G210" s="93"/>
      <c r="H210" s="93"/>
      <c r="I210" s="93"/>
    </row>
    <row r="211" customFormat="false" ht="12" hidden="false" customHeight="false" outlineLevel="0" collapsed="false">
      <c r="A211" s="5"/>
      <c r="B211" s="2"/>
      <c r="C211" s="2"/>
      <c r="D211" s="93"/>
      <c r="E211" s="93"/>
      <c r="F211" s="93"/>
      <c r="G211" s="93"/>
      <c r="H211" s="93"/>
      <c r="I211" s="93"/>
    </row>
    <row r="212" customFormat="false" ht="12" hidden="false" customHeight="false" outlineLevel="0" collapsed="false">
      <c r="A212" s="5"/>
      <c r="B212" s="2"/>
      <c r="C212" s="2"/>
      <c r="D212" s="93"/>
      <c r="E212" s="93"/>
      <c r="F212" s="93"/>
      <c r="G212" s="93"/>
      <c r="H212" s="93"/>
      <c r="I212" s="93"/>
    </row>
    <row r="213" customFormat="false" ht="12" hidden="false" customHeight="false" outlineLevel="0" collapsed="false">
      <c r="A213" s="5"/>
      <c r="B213" s="2"/>
      <c r="C213" s="2"/>
      <c r="D213" s="93"/>
      <c r="E213" s="93"/>
      <c r="F213" s="93"/>
      <c r="G213" s="93"/>
      <c r="H213" s="93"/>
      <c r="I213" s="93"/>
    </row>
    <row r="214" customFormat="false" ht="12" hidden="false" customHeight="false" outlineLevel="0" collapsed="false">
      <c r="A214" s="5"/>
      <c r="B214" s="2"/>
      <c r="C214" s="2"/>
      <c r="D214" s="93"/>
      <c r="E214" s="93"/>
      <c r="F214" s="93"/>
      <c r="G214" s="93"/>
      <c r="H214" s="93"/>
      <c r="I214" s="93"/>
    </row>
    <row r="215" customFormat="false" ht="12" hidden="false" customHeight="false" outlineLevel="0" collapsed="false">
      <c r="A215" s="5"/>
      <c r="B215" s="2"/>
      <c r="C215" s="2"/>
      <c r="D215" s="93"/>
      <c r="E215" s="93"/>
      <c r="F215" s="93"/>
      <c r="G215" s="93"/>
      <c r="H215" s="93"/>
      <c r="I215" s="93"/>
    </row>
    <row r="216" customFormat="false" ht="12" hidden="false" customHeight="false" outlineLevel="0" collapsed="false">
      <c r="A216" s="5"/>
      <c r="B216" s="2"/>
      <c r="C216" s="2"/>
      <c r="D216" s="93"/>
      <c r="E216" s="93"/>
      <c r="F216" s="93"/>
      <c r="G216" s="93"/>
      <c r="H216" s="93"/>
      <c r="I216" s="9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15" activePane="bottomLeft" state="frozen"/>
      <selection pane="topLeft" activeCell="A1" activeCellId="0" sqref="A1"/>
      <selection pane="bottomLeft" activeCell="C7" activeCellId="0" sqref="C7"/>
    </sheetView>
  </sheetViews>
  <sheetFormatPr defaultColWidth="8.73046875" defaultRowHeight="12" customHeight="false" zeroHeight="false" outlineLevelRow="0" outlineLevelCol="0"/>
  <cols>
    <col collapsed="false" customWidth="true" hidden="false" outlineLevel="0" max="1" min="1" style="1" width="9.63"/>
    <col collapsed="false" customWidth="true" hidden="false" outlineLevel="0" max="2" min="2" style="1" width="7.45"/>
    <col collapsed="false" customWidth="true" hidden="false" outlineLevel="0" max="3" min="3" style="43" width="13.81"/>
    <col collapsed="false" customWidth="false" hidden="false" outlineLevel="0" max="16384" min="4" style="1" width="8.73"/>
  </cols>
  <sheetData>
    <row r="1" customFormat="false" ht="12" hidden="false" customHeight="false" outlineLevel="0" collapsed="false">
      <c r="A1" s="1" t="s">
        <v>202</v>
      </c>
    </row>
    <row r="6" s="4" customFormat="true" ht="12" hidden="false" customHeight="false" outlineLevel="0" collapsed="false">
      <c r="A6" s="4" t="s">
        <v>203</v>
      </c>
      <c r="B6" s="4" t="s">
        <v>10</v>
      </c>
      <c r="C6" s="91" t="s">
        <v>194</v>
      </c>
      <c r="D6" s="4" t="s">
        <v>191</v>
      </c>
      <c r="E6" s="4" t="s">
        <v>190</v>
      </c>
    </row>
    <row r="7" customFormat="false" ht="12" hidden="false" customHeight="false" outlineLevel="0" collapsed="false">
      <c r="A7" s="5" t="n">
        <v>45322</v>
      </c>
      <c r="B7" s="2" t="s">
        <v>15</v>
      </c>
      <c r="C7" s="96" t="n">
        <v>61261</v>
      </c>
      <c r="D7" s="1" t="n">
        <f aca="false">YEAR(A7)</f>
        <v>2024</v>
      </c>
      <c r="E7" s="1" t="n">
        <f aca="false">MONTH(A7)</f>
        <v>1</v>
      </c>
    </row>
    <row r="8" customFormat="false" ht="12" hidden="false" customHeight="false" outlineLevel="0" collapsed="false">
      <c r="A8" s="5" t="n">
        <v>45322</v>
      </c>
      <c r="B8" s="2" t="s">
        <v>90</v>
      </c>
      <c r="C8" s="96" t="n">
        <v>35978</v>
      </c>
      <c r="D8" s="1" t="n">
        <f aca="false">YEAR(A8)</f>
        <v>2024</v>
      </c>
      <c r="E8" s="1" t="n">
        <f aca="false">MONTH(A8)</f>
        <v>1</v>
      </c>
    </row>
    <row r="9" customFormat="false" ht="12" hidden="false" customHeight="false" outlineLevel="0" collapsed="false">
      <c r="A9" s="5" t="n">
        <v>45351</v>
      </c>
      <c r="B9" s="2" t="s">
        <v>15</v>
      </c>
      <c r="C9" s="96" t="n">
        <v>61640</v>
      </c>
      <c r="D9" s="1" t="n">
        <f aca="false">YEAR(A9)</f>
        <v>2024</v>
      </c>
      <c r="E9" s="1" t="n">
        <f aca="false">MONTH(A9)</f>
        <v>2</v>
      </c>
    </row>
    <row r="10" customFormat="false" ht="12" hidden="false" customHeight="false" outlineLevel="0" collapsed="false">
      <c r="A10" s="5" t="n">
        <v>45351</v>
      </c>
      <c r="B10" s="2" t="s">
        <v>90</v>
      </c>
      <c r="C10" s="96" t="n">
        <v>36202</v>
      </c>
      <c r="D10" s="1" t="n">
        <f aca="false">YEAR(A10)</f>
        <v>2024</v>
      </c>
      <c r="E10" s="1" t="n">
        <f aca="false">MONTH(A10)</f>
        <v>2</v>
      </c>
    </row>
    <row r="11" customFormat="false" ht="12" hidden="false" customHeight="false" outlineLevel="0" collapsed="false">
      <c r="A11" s="5" t="n">
        <v>45382</v>
      </c>
      <c r="B11" s="2" t="s">
        <v>15</v>
      </c>
      <c r="C11" s="96" t="n">
        <v>61170</v>
      </c>
      <c r="D11" s="1" t="n">
        <f aca="false">YEAR(A11)</f>
        <v>2024</v>
      </c>
      <c r="E11" s="1" t="n">
        <f aca="false">MONTH(A11)</f>
        <v>3</v>
      </c>
    </row>
    <row r="12" customFormat="false" ht="12" hidden="false" customHeight="false" outlineLevel="0" collapsed="false">
      <c r="A12" s="5" t="n">
        <v>45382</v>
      </c>
      <c r="B12" s="2" t="s">
        <v>90</v>
      </c>
      <c r="C12" s="96" t="n">
        <v>35925</v>
      </c>
      <c r="D12" s="1" t="n">
        <f aca="false">YEAR(A12)</f>
        <v>2024</v>
      </c>
      <c r="E12" s="1" t="n">
        <f aca="false">MONTH(A12)</f>
        <v>3</v>
      </c>
    </row>
    <row r="13" customFormat="false" ht="12" hidden="false" customHeight="false" outlineLevel="0" collapsed="false">
      <c r="A13" s="5" t="n">
        <v>45412</v>
      </c>
      <c r="B13" s="2" t="s">
        <v>15</v>
      </c>
      <c r="C13" s="96" t="n">
        <v>61337</v>
      </c>
      <c r="D13" s="1" t="n">
        <f aca="false">YEAR(A13)</f>
        <v>2024</v>
      </c>
      <c r="E13" s="1" t="n">
        <f aca="false">MONTH(A13)</f>
        <v>4</v>
      </c>
    </row>
    <row r="14" customFormat="false" ht="12" hidden="false" customHeight="false" outlineLevel="0" collapsed="false">
      <c r="A14" s="5" t="n">
        <v>45412</v>
      </c>
      <c r="B14" s="2" t="s">
        <v>90</v>
      </c>
      <c r="C14" s="96" t="n">
        <v>36023</v>
      </c>
      <c r="D14" s="1" t="n">
        <f aca="false">YEAR(A14)</f>
        <v>2024</v>
      </c>
      <c r="E14" s="1" t="n">
        <f aca="false">MONTH(A14)</f>
        <v>4</v>
      </c>
    </row>
    <row r="15" customFormat="false" ht="12" hidden="false" customHeight="false" outlineLevel="0" collapsed="false">
      <c r="A15" s="5" t="n">
        <v>45443</v>
      </c>
      <c r="B15" s="2" t="s">
        <v>15</v>
      </c>
      <c r="C15" s="96" t="n">
        <v>61567</v>
      </c>
      <c r="D15" s="1" t="n">
        <f aca="false">YEAR(A15)</f>
        <v>2024</v>
      </c>
      <c r="E15" s="1" t="n">
        <f aca="false">MONTH(A15)</f>
        <v>5</v>
      </c>
    </row>
    <row r="16" customFormat="false" ht="12" hidden="false" customHeight="false" outlineLevel="0" collapsed="false">
      <c r="A16" s="5" t="n">
        <v>45443</v>
      </c>
      <c r="B16" s="2" t="s">
        <v>90</v>
      </c>
      <c r="C16" s="96" t="n">
        <v>36159</v>
      </c>
      <c r="D16" s="1" t="n">
        <f aca="false">YEAR(A16)</f>
        <v>2024</v>
      </c>
      <c r="E16" s="1" t="n">
        <f aca="false">MONTH(A16)</f>
        <v>5</v>
      </c>
    </row>
    <row r="17" customFormat="false" ht="12" hidden="false" customHeight="false" outlineLevel="0" collapsed="false">
      <c r="A17" s="5" t="n">
        <v>45473</v>
      </c>
      <c r="B17" s="2" t="s">
        <v>15</v>
      </c>
      <c r="C17" s="96" t="n">
        <v>61672</v>
      </c>
      <c r="D17" s="1" t="n">
        <f aca="false">YEAR(A17)</f>
        <v>2024</v>
      </c>
      <c r="E17" s="1" t="n">
        <f aca="false">MONTH(A17)</f>
        <v>6</v>
      </c>
    </row>
    <row r="18" customFormat="false" ht="12" hidden="false" customHeight="false" outlineLevel="0" collapsed="false">
      <c r="A18" s="5" t="n">
        <v>45473</v>
      </c>
      <c r="B18" s="2" t="s">
        <v>90</v>
      </c>
      <c r="C18" s="96" t="n">
        <v>36220</v>
      </c>
      <c r="D18" s="1" t="n">
        <f aca="false">YEAR(A18)</f>
        <v>2024</v>
      </c>
      <c r="E18" s="1" t="n">
        <f aca="false">MONTH(A18)</f>
        <v>6</v>
      </c>
    </row>
    <row r="19" customFormat="false" ht="12" hidden="false" customHeight="false" outlineLevel="0" collapsed="false">
      <c r="A19" s="5" t="n">
        <v>45504</v>
      </c>
      <c r="B19" s="2" t="s">
        <v>15</v>
      </c>
      <c r="C19" s="96" t="n">
        <v>61889</v>
      </c>
      <c r="D19" s="1" t="n">
        <f aca="false">YEAR(A19)</f>
        <v>2024</v>
      </c>
      <c r="E19" s="1" t="n">
        <f aca="false">MONTH(A19)</f>
        <v>7</v>
      </c>
    </row>
    <row r="20" customFormat="false" ht="12" hidden="false" customHeight="false" outlineLevel="0" collapsed="false">
      <c r="A20" s="5" t="n">
        <v>45504</v>
      </c>
      <c r="B20" s="2" t="s">
        <v>90</v>
      </c>
      <c r="C20" s="96" t="n">
        <v>36348</v>
      </c>
      <c r="D20" s="1" t="n">
        <f aca="false">YEAR(A20)</f>
        <v>2024</v>
      </c>
      <c r="E20" s="1" t="n">
        <f aca="false">MONTH(A20)</f>
        <v>7</v>
      </c>
    </row>
    <row r="21" customFormat="false" ht="12" hidden="false" customHeight="false" outlineLevel="0" collapsed="false">
      <c r="A21" s="5" t="n">
        <v>45535</v>
      </c>
      <c r="B21" s="2" t="s">
        <v>15</v>
      </c>
      <c r="C21" s="96" t="n">
        <v>61909</v>
      </c>
      <c r="D21" s="1" t="n">
        <f aca="false">YEAR(A21)</f>
        <v>2024</v>
      </c>
      <c r="E21" s="1" t="n">
        <f aca="false">MONTH(A21)</f>
        <v>8</v>
      </c>
    </row>
    <row r="22" customFormat="false" ht="12" hidden="false" customHeight="false" outlineLevel="0" collapsed="false">
      <c r="A22" s="5" t="n">
        <v>45535</v>
      </c>
      <c r="B22" s="2" t="s">
        <v>90</v>
      </c>
      <c r="C22" s="96" t="n">
        <v>36360</v>
      </c>
      <c r="D22" s="1" t="n">
        <f aca="false">YEAR(A22)</f>
        <v>2024</v>
      </c>
      <c r="E22" s="1" t="n">
        <f aca="false">MONTH(A22)</f>
        <v>8</v>
      </c>
    </row>
    <row r="23" customFormat="false" ht="12" hidden="false" customHeight="false" outlineLevel="0" collapsed="false">
      <c r="A23" s="5" t="n">
        <v>45565</v>
      </c>
      <c r="B23" s="2" t="s">
        <v>15</v>
      </c>
      <c r="C23" s="96" t="n">
        <v>62024</v>
      </c>
      <c r="D23" s="1" t="n">
        <f aca="false">YEAR(A23)</f>
        <v>2024</v>
      </c>
      <c r="E23" s="1" t="n">
        <f aca="false">MONTH(A23)</f>
        <v>9</v>
      </c>
    </row>
    <row r="24" customFormat="false" ht="12" hidden="false" customHeight="false" outlineLevel="0" collapsed="false">
      <c r="A24" s="5" t="n">
        <v>45565</v>
      </c>
      <c r="B24" s="2" t="s">
        <v>90</v>
      </c>
      <c r="C24" s="96" t="n">
        <v>36427</v>
      </c>
      <c r="D24" s="1" t="n">
        <f aca="false">YEAR(A24)</f>
        <v>2024</v>
      </c>
      <c r="E24" s="1" t="n">
        <f aca="false">MONTH(A24)</f>
        <v>9</v>
      </c>
    </row>
    <row r="25" customFormat="false" ht="12" hidden="false" customHeight="false" outlineLevel="0" collapsed="false">
      <c r="A25" s="5" t="n">
        <v>45596</v>
      </c>
      <c r="B25" s="2" t="s">
        <v>15</v>
      </c>
      <c r="C25" s="96" t="n">
        <v>61947</v>
      </c>
      <c r="D25" s="1" t="n">
        <f aca="false">YEAR(A25)</f>
        <v>2024</v>
      </c>
      <c r="E25" s="1" t="n">
        <f aca="false">MONTH(A25)</f>
        <v>10</v>
      </c>
    </row>
    <row r="26" customFormat="false" ht="12" hidden="false" customHeight="false" outlineLevel="0" collapsed="false">
      <c r="A26" s="5" t="n">
        <v>45596</v>
      </c>
      <c r="B26" s="2" t="s">
        <v>90</v>
      </c>
      <c r="C26" s="96" t="n">
        <v>36382</v>
      </c>
      <c r="D26" s="1" t="n">
        <f aca="false">YEAR(A26)</f>
        <v>2024</v>
      </c>
      <c r="E26" s="1" t="n">
        <f aca="false">MONTH(A26)</f>
        <v>10</v>
      </c>
    </row>
    <row r="27" customFormat="false" ht="12" hidden="false" customHeight="false" outlineLevel="0" collapsed="false">
      <c r="A27" s="5" t="n">
        <v>45626</v>
      </c>
      <c r="B27" s="2" t="s">
        <v>15</v>
      </c>
      <c r="C27" s="96" t="n">
        <v>61968</v>
      </c>
      <c r="D27" s="1" t="n">
        <f aca="false">YEAR(A27)</f>
        <v>2024</v>
      </c>
      <c r="E27" s="1" t="n">
        <f aca="false">MONTH(A27)</f>
        <v>11</v>
      </c>
    </row>
    <row r="28" customFormat="false" ht="12" hidden="false" customHeight="false" outlineLevel="0" collapsed="false">
      <c r="A28" s="5" t="n">
        <v>45626</v>
      </c>
      <c r="B28" s="2" t="s">
        <v>90</v>
      </c>
      <c r="C28" s="96" t="n">
        <v>36394</v>
      </c>
      <c r="D28" s="1" t="n">
        <f aca="false">YEAR(A28)</f>
        <v>2024</v>
      </c>
      <c r="E28" s="1" t="n">
        <f aca="false">MONTH(A28)</f>
        <v>11</v>
      </c>
    </row>
    <row r="29" customFormat="false" ht="12" hidden="false" customHeight="false" outlineLevel="0" collapsed="false">
      <c r="A29" s="5" t="n">
        <v>45657</v>
      </c>
      <c r="B29" s="2" t="s">
        <v>15</v>
      </c>
      <c r="C29" s="96" t="n">
        <v>61754</v>
      </c>
      <c r="D29" s="1" t="n">
        <f aca="false">YEAR(A29)</f>
        <v>2024</v>
      </c>
      <c r="E29" s="1" t="n">
        <f aca="false">MONTH(A29)</f>
        <v>12</v>
      </c>
    </row>
    <row r="30" customFormat="false" ht="12" hidden="false" customHeight="false" outlineLevel="0" collapsed="false">
      <c r="A30" s="5" t="n">
        <v>45657</v>
      </c>
      <c r="B30" s="2" t="s">
        <v>90</v>
      </c>
      <c r="C30" s="96" t="n">
        <v>36268</v>
      </c>
      <c r="D30" s="1" t="n">
        <f aca="false">YEAR(A30)</f>
        <v>2024</v>
      </c>
      <c r="E30" s="1" t="n">
        <f aca="false">MONTH(A30)</f>
        <v>12</v>
      </c>
    </row>
    <row r="31" customFormat="false" ht="12" hidden="false" customHeight="false" outlineLevel="0" collapsed="false">
      <c r="A31" s="5" t="n">
        <v>45688</v>
      </c>
      <c r="B31" s="2" t="s">
        <v>15</v>
      </c>
      <c r="C31" s="96" t="n">
        <v>62695</v>
      </c>
      <c r="D31" s="1" t="n">
        <f aca="false">YEAR(A31)</f>
        <v>2025</v>
      </c>
      <c r="E31" s="1" t="n">
        <f aca="false">MONTH(A31)</f>
        <v>1</v>
      </c>
    </row>
    <row r="32" customFormat="false" ht="12" hidden="false" customHeight="false" outlineLevel="0" collapsed="false">
      <c r="A32" s="5" t="n">
        <v>45688</v>
      </c>
      <c r="B32" s="2" t="s">
        <v>90</v>
      </c>
      <c r="C32" s="96" t="n">
        <v>36821</v>
      </c>
      <c r="D32" s="1" t="n">
        <f aca="false">YEAR(A32)</f>
        <v>2025</v>
      </c>
      <c r="E32" s="1" t="n">
        <f aca="false">MONTH(A32)</f>
        <v>1</v>
      </c>
    </row>
    <row r="33" customFormat="false" ht="12" hidden="false" customHeight="false" outlineLevel="0" collapsed="false">
      <c r="A33" s="5" t="n">
        <v>45716</v>
      </c>
      <c r="B33" s="2" t="s">
        <v>15</v>
      </c>
      <c r="C33" s="96" t="n">
        <v>62606</v>
      </c>
      <c r="D33" s="1" t="n">
        <f aca="false">YEAR(A33)</f>
        <v>2025</v>
      </c>
      <c r="E33" s="1" t="n">
        <f aca="false">MONTH(A33)</f>
        <v>2</v>
      </c>
    </row>
    <row r="34" customFormat="false" ht="12" hidden="false" customHeight="false" outlineLevel="0" collapsed="false">
      <c r="A34" s="5" t="n">
        <v>45716</v>
      </c>
      <c r="B34" s="2" t="s">
        <v>90</v>
      </c>
      <c r="C34" s="96" t="n">
        <v>36769</v>
      </c>
      <c r="D34" s="1" t="n">
        <f aca="false">YEAR(A34)</f>
        <v>2025</v>
      </c>
      <c r="E34" s="1" t="n">
        <f aca="false">MONTH(A34)</f>
        <v>2</v>
      </c>
    </row>
    <row r="35" customFormat="false" ht="12" hidden="false" customHeight="false" outlineLevel="0" collapsed="false">
      <c r="A35" s="5" t="n">
        <v>45747</v>
      </c>
      <c r="B35" s="2" t="s">
        <v>15</v>
      </c>
      <c r="C35" s="96" t="n">
        <v>63014</v>
      </c>
      <c r="D35" s="1" t="n">
        <f aca="false">YEAR(A35)</f>
        <v>2025</v>
      </c>
      <c r="E35" s="1" t="n">
        <f aca="false">MONTH(A35)</f>
        <v>3</v>
      </c>
    </row>
    <row r="36" customFormat="false" ht="12" hidden="false" customHeight="false" outlineLevel="0" collapsed="false">
      <c r="A36" s="5" t="n">
        <v>45747</v>
      </c>
      <c r="B36" s="2" t="s">
        <v>90</v>
      </c>
      <c r="C36" s="96" t="n">
        <v>37008</v>
      </c>
      <c r="D36" s="1" t="n">
        <f aca="false">YEAR(A36)</f>
        <v>2025</v>
      </c>
      <c r="E36" s="1" t="n">
        <f aca="false">MONTH(A36)</f>
        <v>3</v>
      </c>
    </row>
    <row r="37" customFormat="false" ht="12" hidden="false" customHeight="false" outlineLevel="0" collapsed="false">
      <c r="A37" s="5" t="n">
        <v>45777</v>
      </c>
      <c r="B37" s="2" t="s">
        <v>15</v>
      </c>
      <c r="C37" s="96" t="n">
        <v>62742</v>
      </c>
      <c r="D37" s="1" t="n">
        <f aca="false">YEAR(A37)</f>
        <v>2025</v>
      </c>
      <c r="E37" s="1" t="n">
        <f aca="false">MONTH(A37)</f>
        <v>4</v>
      </c>
    </row>
    <row r="38" customFormat="false" ht="12" hidden="false" customHeight="false" outlineLevel="0" collapsed="false">
      <c r="A38" s="5" t="n">
        <v>45777</v>
      </c>
      <c r="B38" s="2" t="s">
        <v>90</v>
      </c>
      <c r="C38" s="96" t="n">
        <v>36848</v>
      </c>
      <c r="D38" s="1" t="n">
        <f aca="false">YEAR(A38)</f>
        <v>2025</v>
      </c>
      <c r="E38" s="1" t="n">
        <f aca="false">MONTH(A38)</f>
        <v>4</v>
      </c>
    </row>
    <row r="39" customFormat="false" ht="12" hidden="false" customHeight="false" outlineLevel="0" collapsed="false">
      <c r="A39" s="5" t="n">
        <v>45808</v>
      </c>
      <c r="B39" s="2" t="s">
        <v>15</v>
      </c>
      <c r="C39" s="96" t="n">
        <v>62810</v>
      </c>
      <c r="D39" s="1" t="n">
        <f aca="false">YEAR(A39)</f>
        <v>2025</v>
      </c>
      <c r="E39" s="1" t="n">
        <f aca="false">MONTH(A39)</f>
        <v>5</v>
      </c>
    </row>
    <row r="40" customFormat="false" ht="12" hidden="false" customHeight="false" outlineLevel="0" collapsed="false">
      <c r="A40" s="5" t="n">
        <v>45808</v>
      </c>
      <c r="B40" s="2" t="s">
        <v>90</v>
      </c>
      <c r="C40" s="96" t="n">
        <v>36888</v>
      </c>
      <c r="D40" s="1" t="n">
        <f aca="false">YEAR(A40)</f>
        <v>2025</v>
      </c>
      <c r="E40" s="1" t="n">
        <f aca="false">MONTH(A40)</f>
        <v>5</v>
      </c>
    </row>
    <row r="41" customFormat="false" ht="12" hidden="false" customHeight="false" outlineLevel="0" collapsed="false">
      <c r="A41" s="5" t="n">
        <v>45838</v>
      </c>
      <c r="B41" s="2" t="s">
        <v>15</v>
      </c>
      <c r="C41" s="96" t="n">
        <v>62982</v>
      </c>
      <c r="D41" s="1" t="n">
        <f aca="false">YEAR(A41)</f>
        <v>2025</v>
      </c>
      <c r="E41" s="1" t="n">
        <f aca="false">MONTH(A41)</f>
        <v>6</v>
      </c>
    </row>
    <row r="42" customFormat="false" ht="12" hidden="false" customHeight="false" outlineLevel="0" collapsed="false">
      <c r="A42" s="5" t="n">
        <v>45838</v>
      </c>
      <c r="B42" s="2" t="s">
        <v>90</v>
      </c>
      <c r="C42" s="96" t="n">
        <v>36989</v>
      </c>
      <c r="D42" s="1" t="n">
        <f aca="false">YEAR(A42)</f>
        <v>2025</v>
      </c>
      <c r="E42" s="1" t="n">
        <f aca="false">MONTH(A42)</f>
        <v>6</v>
      </c>
    </row>
    <row r="43" customFormat="false" ht="12" hidden="false" customHeight="false" outlineLevel="0" collapsed="false">
      <c r="A43" s="5" t="n">
        <v>45869</v>
      </c>
      <c r="B43" s="2" t="s">
        <v>15</v>
      </c>
      <c r="C43" s="96" t="n">
        <v>63030</v>
      </c>
      <c r="D43" s="1" t="n">
        <f aca="false">YEAR(A43)</f>
        <v>2025</v>
      </c>
      <c r="E43" s="1" t="n">
        <f aca="false">MONTH(A43)</f>
        <v>7</v>
      </c>
    </row>
    <row r="44" customFormat="false" ht="12" hidden="false" customHeight="false" outlineLevel="0" collapsed="false">
      <c r="A44" s="5" t="n">
        <v>45869</v>
      </c>
      <c r="B44" s="2" t="s">
        <v>90</v>
      </c>
      <c r="C44" s="96" t="n">
        <v>37018</v>
      </c>
      <c r="D44" s="1" t="n">
        <f aca="false">YEAR(A44)</f>
        <v>2025</v>
      </c>
      <c r="E44" s="1" t="n">
        <f aca="false">MONTH(A44)</f>
        <v>7</v>
      </c>
    </row>
    <row r="45" customFormat="false" ht="12" hidden="false" customHeight="false" outlineLevel="0" collapsed="false">
      <c r="A45" s="5" t="n">
        <v>45900</v>
      </c>
      <c r="B45" s="2" t="s">
        <v>15</v>
      </c>
      <c r="C45" s="96" t="n">
        <v>63406</v>
      </c>
      <c r="D45" s="1" t="n">
        <f aca="false">YEAR(A45)</f>
        <v>2025</v>
      </c>
      <c r="E45" s="1" t="n">
        <f aca="false">MONTH(A45)</f>
        <v>8</v>
      </c>
    </row>
    <row r="46" customFormat="false" ht="12" hidden="false" customHeight="false" outlineLevel="0" collapsed="false">
      <c r="A46" s="5" t="n">
        <v>45900</v>
      </c>
      <c r="B46" s="2" t="s">
        <v>90</v>
      </c>
      <c r="C46" s="96" t="n">
        <v>37238</v>
      </c>
      <c r="D46" s="1" t="n">
        <f aca="false">YEAR(A46)</f>
        <v>2025</v>
      </c>
      <c r="E46" s="1" t="n">
        <f aca="false">MONTH(A46)</f>
        <v>8</v>
      </c>
    </row>
    <row r="47" customFormat="false" ht="12" hidden="false" customHeight="false" outlineLevel="0" collapsed="false">
      <c r="A47" s="5" t="n">
        <v>45930</v>
      </c>
      <c r="B47" s="2" t="s">
        <v>15</v>
      </c>
      <c r="C47" s="96" t="n">
        <v>62970</v>
      </c>
      <c r="D47" s="1" t="n">
        <f aca="false">YEAR(A47)</f>
        <v>2025</v>
      </c>
      <c r="E47" s="1" t="n">
        <f aca="false">MONTH(A47)</f>
        <v>9</v>
      </c>
    </row>
    <row r="48" customFormat="false" ht="12" hidden="false" customHeight="false" outlineLevel="0" collapsed="false">
      <c r="A48" s="5" t="n">
        <v>45930</v>
      </c>
      <c r="B48" s="2" t="s">
        <v>90</v>
      </c>
      <c r="C48" s="96" t="n">
        <v>36983</v>
      </c>
      <c r="D48" s="1" t="n">
        <f aca="false">YEAR(A48)</f>
        <v>2025</v>
      </c>
      <c r="E48" s="1" t="n">
        <f aca="false">MONTH(A48)</f>
        <v>9</v>
      </c>
    </row>
    <row r="49" customFormat="false" ht="12" hidden="false" customHeight="false" outlineLevel="0" collapsed="false">
      <c r="A49" s="5" t="n">
        <v>45961</v>
      </c>
      <c r="B49" s="2" t="s">
        <v>15</v>
      </c>
      <c r="C49" s="96" t="n">
        <v>62931</v>
      </c>
      <c r="D49" s="1" t="n">
        <f aca="false">YEAR(A49)</f>
        <v>2025</v>
      </c>
      <c r="E49" s="1" t="n">
        <f aca="false">MONTH(A49)</f>
        <v>10</v>
      </c>
    </row>
    <row r="50" customFormat="false" ht="12" hidden="false" customHeight="false" outlineLevel="0" collapsed="false">
      <c r="A50" s="5" t="n">
        <v>45961</v>
      </c>
      <c r="B50" s="2" t="s">
        <v>90</v>
      </c>
      <c r="C50" s="96" t="n">
        <v>36960</v>
      </c>
      <c r="D50" s="1" t="n">
        <f aca="false">YEAR(A50)</f>
        <v>2025</v>
      </c>
      <c r="E50" s="1" t="n">
        <f aca="false">MONTH(A50)</f>
        <v>10</v>
      </c>
    </row>
    <row r="51" customFormat="false" ht="12" hidden="false" customHeight="false" outlineLevel="0" collapsed="false">
      <c r="A51" s="5" t="n">
        <v>45991</v>
      </c>
      <c r="B51" s="2" t="s">
        <v>15</v>
      </c>
      <c r="C51" s="96" t="n">
        <v>63238</v>
      </c>
      <c r="D51" s="1" t="n">
        <f aca="false">YEAR(A51)</f>
        <v>2025</v>
      </c>
      <c r="E51" s="1" t="n">
        <f aca="false">MONTH(A51)</f>
        <v>11</v>
      </c>
    </row>
    <row r="52" customFormat="false" ht="12" hidden="false" customHeight="false" outlineLevel="0" collapsed="false">
      <c r="A52" s="5" t="n">
        <v>45991</v>
      </c>
      <c r="B52" s="2" t="s">
        <v>90</v>
      </c>
      <c r="C52" s="96" t="n">
        <v>37139</v>
      </c>
      <c r="D52" s="1" t="n">
        <f aca="false">YEAR(A52)</f>
        <v>2025</v>
      </c>
      <c r="E52" s="1" t="n">
        <f aca="false">MONTH(A52)</f>
        <v>11</v>
      </c>
    </row>
    <row r="53" customFormat="false" ht="12" hidden="false" customHeight="false" outlineLevel="0" collapsed="false">
      <c r="A53" s="5" t="n">
        <v>46022</v>
      </c>
      <c r="B53" s="2" t="s">
        <v>15</v>
      </c>
      <c r="C53" s="96" t="n">
        <v>63149</v>
      </c>
      <c r="D53" s="1" t="n">
        <f aca="false">YEAR(A53)</f>
        <v>2025</v>
      </c>
      <c r="E53" s="1" t="n">
        <f aca="false">MONTH(A53)</f>
        <v>12</v>
      </c>
    </row>
    <row r="54" customFormat="false" ht="12" hidden="false" customHeight="false" outlineLevel="0" collapsed="false">
      <c r="A54" s="5" t="n">
        <v>46022</v>
      </c>
      <c r="B54" s="2" t="s">
        <v>90</v>
      </c>
      <c r="C54" s="96" t="n">
        <v>37088</v>
      </c>
      <c r="D54" s="1" t="n">
        <f aca="false">YEAR(A54)</f>
        <v>2025</v>
      </c>
      <c r="E54" s="1" t="n">
        <f aca="false">MONTH(A54)</f>
        <v>12</v>
      </c>
    </row>
    <row r="55" customFormat="false" ht="12" hidden="false" customHeight="false" outlineLevel="0" collapsed="false">
      <c r="A55" s="5" t="n">
        <v>46053</v>
      </c>
      <c r="B55" s="2" t="s">
        <v>15</v>
      </c>
      <c r="C55" s="96" t="n">
        <v>63612</v>
      </c>
      <c r="D55" s="1" t="n">
        <f aca="false">YEAR(A55)</f>
        <v>2026</v>
      </c>
      <c r="E55" s="1" t="n">
        <f aca="false">MONTH(A55)</f>
        <v>1</v>
      </c>
    </row>
    <row r="56" customFormat="false" ht="12" hidden="false" customHeight="false" outlineLevel="0" collapsed="false">
      <c r="A56" s="5" t="n">
        <v>46053</v>
      </c>
      <c r="B56" s="2" t="s">
        <v>90</v>
      </c>
      <c r="C56" s="96" t="n">
        <v>37359</v>
      </c>
      <c r="D56" s="1" t="n">
        <f aca="false">YEAR(A56)</f>
        <v>2026</v>
      </c>
      <c r="E56" s="1" t="n">
        <f aca="false">MONTH(A56)</f>
        <v>1</v>
      </c>
    </row>
    <row r="57" customFormat="false" ht="12" hidden="false" customHeight="false" outlineLevel="0" collapsed="false">
      <c r="A57" s="5"/>
      <c r="B57" s="2"/>
      <c r="C57" s="96"/>
    </row>
    <row r="58" customFormat="false" ht="12" hidden="false" customHeight="false" outlineLevel="0" collapsed="false">
      <c r="A58" s="5"/>
      <c r="B58" s="2"/>
      <c r="C58" s="96"/>
    </row>
    <row r="59" customFormat="false" ht="12" hidden="false" customHeight="false" outlineLevel="0" collapsed="false">
      <c r="A59" s="5"/>
      <c r="B59" s="2"/>
      <c r="C59" s="96"/>
    </row>
    <row r="60" customFormat="false" ht="12" hidden="false" customHeight="false" outlineLevel="0" collapsed="false">
      <c r="A60" s="5"/>
      <c r="B60" s="2"/>
      <c r="C60" s="96"/>
    </row>
    <row r="61" customFormat="false" ht="12" hidden="false" customHeight="false" outlineLevel="0" collapsed="false">
      <c r="A61" s="5"/>
      <c r="B61" s="2"/>
      <c r="C61" s="96"/>
    </row>
    <row r="62" customFormat="false" ht="12" hidden="false" customHeight="false" outlineLevel="0" collapsed="false">
      <c r="A62" s="5"/>
      <c r="B62" s="2"/>
      <c r="C62" s="96"/>
    </row>
    <row r="63" customFormat="false" ht="12" hidden="false" customHeight="false" outlineLevel="0" collapsed="false">
      <c r="A63" s="5"/>
      <c r="B63" s="2"/>
      <c r="C63" s="96"/>
    </row>
    <row r="64" customFormat="false" ht="12" hidden="false" customHeight="false" outlineLevel="0" collapsed="false">
      <c r="A64" s="5"/>
      <c r="B64" s="2"/>
      <c r="C64" s="96"/>
    </row>
    <row r="65" customFormat="false" ht="12" hidden="false" customHeight="false" outlineLevel="0" collapsed="false">
      <c r="A65" s="5"/>
      <c r="B65" s="2"/>
      <c r="C65" s="96"/>
    </row>
    <row r="66" customFormat="false" ht="12" hidden="false" customHeight="false" outlineLevel="0" collapsed="false">
      <c r="A66" s="5"/>
      <c r="B66" s="2"/>
      <c r="C66" s="96"/>
    </row>
    <row r="67" customFormat="false" ht="12" hidden="false" customHeight="false" outlineLevel="0" collapsed="false">
      <c r="A67" s="5"/>
      <c r="B67" s="2"/>
      <c r="C67" s="96"/>
    </row>
    <row r="68" customFormat="false" ht="12" hidden="false" customHeight="false" outlineLevel="0" collapsed="false">
      <c r="A68" s="5"/>
      <c r="B68" s="2"/>
      <c r="C68" s="96"/>
    </row>
    <row r="69" customFormat="false" ht="12" hidden="false" customHeight="false" outlineLevel="0" collapsed="false">
      <c r="A69" s="5"/>
      <c r="B69" s="2"/>
      <c r="C69" s="96"/>
    </row>
    <row r="70" customFormat="false" ht="12" hidden="false" customHeight="false" outlineLevel="0" collapsed="false">
      <c r="A70" s="5"/>
      <c r="B70" s="2"/>
      <c r="C70" s="9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2026-02-26T12:16:49Z</dcterms:created>
  <dc:creator>Tristan Campbell</dc:creator>
  <dc:description/>
  <dc:language>en-US</dc:language>
  <cp:lastModifiedBy/>
  <dcterms:modified xsi:type="dcterms:W3CDTF">2026-04-18T13:29:08Z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