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Assumptions" sheetId="1" state="visible" r:id="rId1"/>
    <sheet xmlns:r="http://schemas.openxmlformats.org/officeDocument/2006/relationships" name="2. Base Experience" sheetId="2" state="visible" r:id="rId2"/>
    <sheet xmlns:r="http://schemas.openxmlformats.org/officeDocument/2006/relationships" name="3. Projected Allowed" sheetId="3" state="visible" r:id="rId3"/>
    <sheet xmlns:r="http://schemas.openxmlformats.org/officeDocument/2006/relationships" name="4. Plan Liability" sheetId="4" state="visible" r:id="rId4"/>
    <sheet xmlns:r="http://schemas.openxmlformats.org/officeDocument/2006/relationships" name="5. Standardized Bid" sheetId="5" state="visible" r:id="rId5"/>
    <sheet xmlns:r="http://schemas.openxmlformats.org/officeDocument/2006/relationships" name="6. Benchmark &amp; Rebate" sheetId="6" state="visible" r:id="rId6"/>
    <sheet xmlns:r="http://schemas.openxmlformats.org/officeDocument/2006/relationships" name="7. Rebate Allocation" sheetId="7" state="visible" r:id="rId7"/>
    <sheet xmlns:r="http://schemas.openxmlformats.org/officeDocument/2006/relationships" name="8. Compliance Tests" sheetId="8" state="visible" r:id="rId8"/>
    <sheet xmlns:r="http://schemas.openxmlformats.org/officeDocument/2006/relationships" name="9. Sensitivity" sheetId="9" state="visible" r:id="rId9"/>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0;($#,##0.00);&quot;-&quot;"/>
    <numFmt numFmtId="167" formatCode="0.0%"/>
    <numFmt numFmtId="168" formatCode="$#,##0;($#,##0);&quot;-&quot;"/>
  </numFmts>
  <fonts count="13">
    <font>
      <name val="Calibri"/>
      <family val="2"/>
      <color theme="1"/>
      <sz val="11"/>
      <scheme val="minor"/>
    </font>
    <font>
      <name val="Arial"/>
      <b val="1"/>
      <color rgb="00FFFFFF"/>
      <sz val="14"/>
    </font>
    <font>
      <name val="Arial"/>
      <i val="1"/>
      <color rgb="00595959"/>
      <sz val="9"/>
    </font>
    <font>
      <name val="Arial"/>
      <b val="1"/>
      <color rgb="001F3864"/>
      <sz val="10"/>
    </font>
    <font>
      <name val="Arial"/>
      <sz val="10"/>
    </font>
    <font>
      <name val="Arial"/>
      <color rgb="000000FF"/>
      <sz val="10"/>
    </font>
    <font>
      <name val="Arial"/>
      <color rgb="00000000"/>
      <sz val="10"/>
    </font>
    <font>
      <name val="Arial"/>
      <color rgb="00008000"/>
      <sz val="10"/>
    </font>
    <font>
      <name val="Arial"/>
      <i val="1"/>
      <color rgb="00595959"/>
      <sz val="8"/>
    </font>
    <font>
      <name val="Arial"/>
      <b val="1"/>
      <sz val="10"/>
    </font>
    <font>
      <name val="Arial"/>
      <b val="1"/>
      <color rgb="00000000"/>
      <sz val="10"/>
    </font>
    <font>
      <name val="Arial"/>
      <b val="1"/>
      <color rgb="00FFFFFF"/>
      <sz val="9"/>
    </font>
    <font>
      <name val="Arial"/>
      <b val="1"/>
      <color rgb="00008000"/>
      <sz val="10"/>
    </font>
  </fonts>
  <fills count="6">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E2EFDA"/>
      </patternFill>
    </fill>
  </fills>
  <borders count="4">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1F3864"/>
      </top>
      <bottom style="medium">
        <color rgb="001F3864"/>
      </bottom>
    </border>
    <border>
      <top style="thin">
        <color rgb="00404040"/>
      </top>
    </border>
  </borders>
  <cellStyleXfs count="1">
    <xf numFmtId="0" fontId="0" fillId="0" borderId="0"/>
  </cellStyleXfs>
  <cellXfs count="71">
    <xf numFmtId="0" fontId="0" fillId="0" borderId="0" pivotButton="0" quotePrefix="0" xfId="0"/>
    <xf numFmtId="0" fontId="1" fillId="2" borderId="0" applyAlignment="1" pivotButton="0" quotePrefix="0" xfId="0">
      <alignment vertical="center" indent="1"/>
    </xf>
    <xf numFmtId="0" fontId="2" fillId="0" borderId="0" pivotButton="0" quotePrefix="0" xfId="0"/>
    <xf numFmtId="0" fontId="3" fillId="3" borderId="0" pivotButton="0" quotePrefix="0" xfId="0"/>
    <xf numFmtId="0" fontId="5" fillId="0" borderId="0" applyAlignment="1" pivotButton="0" quotePrefix="0" xfId="0">
      <alignment indent="1"/>
    </xf>
    <xf numFmtId="0" fontId="6" fillId="0" borderId="0" applyAlignment="1" pivotButton="0" quotePrefix="0" xfId="0">
      <alignment indent="1"/>
    </xf>
    <xf numFmtId="0" fontId="7" fillId="0" borderId="0" applyAlignment="1" pivotButton="0" quotePrefix="0" xfId="0">
      <alignment indent="1"/>
    </xf>
    <xf numFmtId="0" fontId="4" fillId="4" borderId="0" applyAlignment="1" pivotButton="0" quotePrefix="0" xfId="0">
      <alignment indent="1"/>
    </xf>
    <xf numFmtId="0" fontId="4" fillId="0" borderId="0" applyAlignment="1" pivotButton="0" quotePrefix="0" xfId="0">
      <alignment indent="1"/>
    </xf>
    <xf numFmtId="0" fontId="5" fillId="0" borderId="0" pivotButton="0" quotePrefix="0" xfId="0"/>
    <xf numFmtId="1" fontId="5" fillId="0" borderId="0" pivotButton="0" quotePrefix="0" xfId="0"/>
    <xf numFmtId="1" fontId="6" fillId="0" borderId="0" pivotButton="0" quotePrefix="0" xfId="0"/>
    <xf numFmtId="3" fontId="5" fillId="0" borderId="0" pivotButton="0" quotePrefix="0" xfId="0"/>
    <xf numFmtId="3" fontId="6" fillId="0" borderId="0" pivotButton="0" quotePrefix="0" xfId="0"/>
    <xf numFmtId="164" fontId="5" fillId="0" borderId="0" pivotButton="0" quotePrefix="0" xfId="0"/>
    <xf numFmtId="0" fontId="8" fillId="0" borderId="0" pivotButton="0" quotePrefix="0" xfId="0"/>
    <xf numFmtId="165" fontId="5" fillId="0" borderId="0" pivotButton="0" quotePrefix="0" xfId="0"/>
    <xf numFmtId="166" fontId="5" fillId="0" borderId="0" pivotButton="0" quotePrefix="0" xfId="0"/>
    <xf numFmtId="165" fontId="5" fillId="4" borderId="0" pivotButton="0" quotePrefix="0" xfId="0"/>
    <xf numFmtId="10" fontId="5" fillId="4" borderId="0" pivotButton="0" quotePrefix="0" xfId="0"/>
    <xf numFmtId="0" fontId="9" fillId="0" borderId="0" applyAlignment="1" pivotButton="0" quotePrefix="0" xfId="0">
      <alignment indent="1"/>
    </xf>
    <xf numFmtId="165" fontId="10" fillId="0" borderId="0" pivotButton="0" quotePrefix="0" xfId="0"/>
    <xf numFmtId="167" fontId="5" fillId="0" borderId="0" pivotButton="0" quotePrefix="0" xfId="0"/>
    <xf numFmtId="166" fontId="10" fillId="0" borderId="0" pivotButton="0" quotePrefix="0" xfId="0"/>
    <xf numFmtId="166" fontId="5" fillId="4" borderId="0" pivotButton="0" quotePrefix="0" xfId="0"/>
    <xf numFmtId="167" fontId="5" fillId="4" borderId="0" pivotButton="0" quotePrefix="0" xfId="0"/>
    <xf numFmtId="168" fontId="5" fillId="0" borderId="0" pivotButton="0" quotePrefix="0" xfId="0"/>
    <xf numFmtId="168" fontId="5" fillId="4" borderId="0" pivotButton="0" quotePrefix="0" xfId="0"/>
    <xf numFmtId="0" fontId="11" fillId="2" borderId="1" applyAlignment="1" pivotButton="0" quotePrefix="0" xfId="0">
      <alignment horizontal="center" vertical="center" wrapText="1"/>
    </xf>
    <xf numFmtId="0" fontId="4" fillId="0" borderId="1" applyAlignment="1" pivotButton="0" quotePrefix="0" xfId="0">
      <alignment indent="1"/>
    </xf>
    <xf numFmtId="3" fontId="5" fillId="0" borderId="1" pivotButton="0" quotePrefix="0" xfId="0"/>
    <xf numFmtId="168" fontId="5" fillId="0" borderId="1" pivotButton="0" quotePrefix="0" xfId="0"/>
    <xf numFmtId="166" fontId="6" fillId="0" borderId="1" pivotButton="0" quotePrefix="0" xfId="0"/>
    <xf numFmtId="167" fontId="5" fillId="0" borderId="1" pivotButton="0" quotePrefix="0" xfId="0"/>
    <xf numFmtId="167" fontId="6" fillId="0" borderId="1" pivotButton="0" quotePrefix="0" xfId="0"/>
    <xf numFmtId="0" fontId="9" fillId="5" borderId="1" applyAlignment="1" pivotButton="0" quotePrefix="0" xfId="0">
      <alignment indent="1"/>
    </xf>
    <xf numFmtId="0" fontId="0" fillId="5" borderId="1" pivotButton="0" quotePrefix="0" xfId="0"/>
    <xf numFmtId="166" fontId="10" fillId="5" borderId="1" pivotButton="0" quotePrefix="0" xfId="0"/>
    <xf numFmtId="167" fontId="10" fillId="5" borderId="1" pivotButton="0" quotePrefix="0" xfId="0"/>
    <xf numFmtId="10" fontId="10" fillId="0" borderId="0" pivotButton="0" quotePrefix="0" xfId="0"/>
    <xf numFmtId="0" fontId="8" fillId="0" borderId="0" applyAlignment="1" pivotButton="0" quotePrefix="0" xfId="0">
      <alignment vertical="top" wrapText="1"/>
    </xf>
    <xf numFmtId="166" fontId="7" fillId="0" borderId="1" pivotButton="0" quotePrefix="0" xfId="0"/>
    <xf numFmtId="10" fontId="6" fillId="0" borderId="1" pivotButton="0" quotePrefix="0" xfId="0"/>
    <xf numFmtId="165" fontId="6" fillId="0" borderId="1" pivotButton="0" quotePrefix="0" xfId="0"/>
    <xf numFmtId="166" fontId="5" fillId="0" borderId="1" pivotButton="0" quotePrefix="0" xfId="0"/>
    <xf numFmtId="166" fontId="6" fillId="0" borderId="0" pivotButton="0" quotePrefix="0" xfId="0"/>
    <xf numFmtId="166" fontId="7" fillId="0" borderId="0" pivotButton="0" quotePrefix="0" xfId="0"/>
    <xf numFmtId="0" fontId="9" fillId="5" borderId="2" applyAlignment="1" pivotButton="0" quotePrefix="0" xfId="0">
      <alignment indent="1"/>
    </xf>
    <xf numFmtId="166" fontId="10" fillId="5" borderId="2" pivotButton="0" quotePrefix="0" xfId="0"/>
    <xf numFmtId="10" fontId="6" fillId="0" borderId="0" pivotButton="0" quotePrefix="0" xfId="0"/>
    <xf numFmtId="166" fontId="12" fillId="0" borderId="0" pivotButton="0" quotePrefix="0" xfId="0"/>
    <xf numFmtId="166" fontId="10" fillId="0" borderId="3" pivotButton="0" quotePrefix="0" xfId="0"/>
    <xf numFmtId="167" fontId="7" fillId="0" borderId="0" pivotButton="0" quotePrefix="0" xfId="0"/>
    <xf numFmtId="167" fontId="6" fillId="0" borderId="0" pivotButton="0" quotePrefix="0" xfId="0"/>
    <xf numFmtId="1" fontId="6" fillId="0" borderId="1" pivotButton="0" quotePrefix="0" xfId="0"/>
    <xf numFmtId="0" fontId="8" fillId="0" borderId="1" pivotButton="0" quotePrefix="0" xfId="0"/>
    <xf numFmtId="0" fontId="0" fillId="5" borderId="2" pivotButton="0" quotePrefix="0" xfId="0"/>
    <xf numFmtId="1" fontId="7" fillId="0" borderId="0" pivotButton="0" quotePrefix="0" xfId="0"/>
    <xf numFmtId="165" fontId="7" fillId="0" borderId="0" pivotButton="0" quotePrefix="0" xfId="0"/>
    <xf numFmtId="3" fontId="7" fillId="0" borderId="0" pivotButton="0" quotePrefix="0" xfId="0"/>
    <xf numFmtId="168" fontId="10" fillId="0" borderId="0" pivotButton="0" quotePrefix="0" xfId="0"/>
    <xf numFmtId="0" fontId="10" fillId="0" borderId="0" pivotButton="0" quotePrefix="0" xfId="0"/>
    <xf numFmtId="168" fontId="7" fillId="0" borderId="0" pivotButton="0" quotePrefix="0" xfId="0"/>
    <xf numFmtId="0" fontId="4" fillId="5" borderId="1" applyAlignment="1" pivotButton="0" quotePrefix="0" xfId="0">
      <alignment indent="1"/>
    </xf>
    <xf numFmtId="164" fontId="5" fillId="5" borderId="1" pivotButton="0" quotePrefix="0" xfId="0"/>
    <xf numFmtId="167" fontId="5" fillId="5" borderId="1" pivotButton="0" quotePrefix="0" xfId="0"/>
    <xf numFmtId="166" fontId="6" fillId="5" borderId="1" pivotButton="0" quotePrefix="0" xfId="0"/>
    <xf numFmtId="165" fontId="6" fillId="5" borderId="1" pivotButton="0" quotePrefix="0" xfId="0"/>
    <xf numFmtId="168" fontId="6" fillId="5" borderId="1" pivotButton="0" quotePrefix="0" xfId="0"/>
    <xf numFmtId="164" fontId="5" fillId="0" borderId="1" pivotButton="0" quotePrefix="0" xfId="0"/>
    <xf numFmtId="168"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52" customWidth="1" min="1" max="1"/>
    <col width="24" customWidth="1" min="2" max="2"/>
    <col width="95" customWidth="1" min="3" max="3"/>
  </cols>
  <sheetData>
    <row r="1" ht="26" customHeight="1">
      <c r="A1" s="1" t="inlineStr">
        <is>
          <t>Cascade Health Plan HMO  |  CY2027 Medicare Advantage Bid  —  Assumptions &amp; Inputs</t>
        </is>
      </c>
    </row>
    <row r="2">
      <c r="A2" s="2" t="inlineStr">
        <is>
          <t>Illustrative model. Every figure is hypothetical and constructed for teaching purposes; none is drawn from an actual filed bid. Structure follows the CMS Bid Pricing Tool. Change any blue cell and the whole model recalculates.</t>
        </is>
      </c>
    </row>
    <row r="4">
      <c r="A4" s="3" t="inlineStr">
        <is>
          <t>LEGEND</t>
        </is>
      </c>
    </row>
    <row r="5">
      <c r="A5" s="4" t="inlineStr">
        <is>
          <t>Blue text</t>
        </is>
      </c>
      <c r="B5" s="2" t="inlineStr">
        <is>
          <t>Hardcoded input or scenario lever — edit these</t>
        </is>
      </c>
    </row>
    <row r="6">
      <c r="A6" s="5" t="inlineStr">
        <is>
          <t>Black text</t>
        </is>
      </c>
      <c r="B6" s="2" t="inlineStr">
        <is>
          <t>Formula — do not overwrite</t>
        </is>
      </c>
    </row>
    <row r="7">
      <c r="A7" s="6" t="inlineStr">
        <is>
          <t>Green text</t>
        </is>
      </c>
      <c r="B7" s="2" t="inlineStr">
        <is>
          <t>Link to another sheet in this workbook</t>
        </is>
      </c>
    </row>
    <row r="8">
      <c r="A8" s="7" t="inlineStr">
        <is>
          <t>Shaded cell</t>
        </is>
      </c>
      <c r="B8" s="2" t="inlineStr">
        <is>
          <t>Key assumption — verify against the published CY2027 Rate Announcement before relying on it</t>
        </is>
      </c>
    </row>
    <row r="10">
      <c r="A10" s="3" t="inlineStr">
        <is>
          <t>PLAN PROFILE</t>
        </is>
      </c>
    </row>
    <row r="11">
      <c r="A11" s="8" t="inlineStr">
        <is>
          <t>Plan name</t>
        </is>
      </c>
      <c r="B11" s="9" t="inlineStr">
        <is>
          <t>Cascade Health Plan HMO</t>
        </is>
      </c>
    </row>
    <row r="12">
      <c r="A12" s="8" t="inlineStr">
        <is>
          <t>Contract year (bid year)</t>
        </is>
      </c>
      <c r="B12" s="10" t="n">
        <v>2027</v>
      </c>
    </row>
    <row r="13">
      <c r="A13" s="8" t="inlineStr">
        <is>
          <t>Base experience year</t>
        </is>
      </c>
      <c r="B13" s="10" t="n">
        <v>2025</v>
      </c>
    </row>
    <row r="14">
      <c r="A14" s="8" t="inlineStr">
        <is>
          <t>Projection years</t>
        </is>
      </c>
      <c r="B14" s="11">
        <f>B12-B13</f>
        <v/>
      </c>
    </row>
    <row r="15">
      <c r="A15" s="8" t="inlineStr">
        <is>
          <t>Projected enrolled members</t>
        </is>
      </c>
      <c r="B15" s="12" t="n">
        <v>10000</v>
      </c>
    </row>
    <row r="16">
      <c r="A16" s="8" t="inlineStr">
        <is>
          <t>Member months</t>
        </is>
      </c>
      <c r="B16" s="13">
        <f>B15*12</f>
        <v/>
      </c>
    </row>
    <row r="17">
      <c r="A17" s="8" t="inlineStr">
        <is>
          <t>County (illustrative)</t>
        </is>
      </c>
      <c r="B17" s="9" t="inlineStr">
        <is>
          <t>Marion County</t>
        </is>
      </c>
    </row>
    <row r="18">
      <c r="A18" s="8" t="inlineStr">
        <is>
          <t>Star rating driving CY2027 QBP</t>
        </is>
      </c>
      <c r="B18" s="14" t="n">
        <v>4</v>
      </c>
      <c r="C18" s="15" t="inlineStr">
        <is>
          <t>From the 2026 Star Ratings published Oct 2025 — known with certainty at the June 2026 bid deadline.</t>
        </is>
      </c>
    </row>
    <row r="20">
      <c r="A20" s="3" t="inlineStr">
        <is>
          <t>RISK SCORE &amp; NORMALIZATION</t>
        </is>
      </c>
    </row>
    <row r="21">
      <c r="A21" s="8" t="inlineStr">
        <is>
          <t>Base period average RAF (CY2025)</t>
        </is>
      </c>
      <c r="B21" s="16" t="n">
        <v>1.082</v>
      </c>
    </row>
    <row r="22">
      <c r="A22" s="8" t="inlineStr">
        <is>
          <t>One-time item removed from base (PMPM)</t>
        </is>
      </c>
      <c r="B22" s="17" t="n">
        <v>4.5</v>
      </c>
      <c r="C22" s="15" t="inlineStr">
        <is>
          <t>Retroactive hospital settlement paid in CY2025 relating to CY2023 dates of service.</t>
        </is>
      </c>
    </row>
    <row r="23">
      <c r="A23" s="8" t="inlineStr">
        <is>
          <t>Projected CY2027 raw RAF (v28)</t>
        </is>
      </c>
      <c r="B23" s="16" t="n">
        <v>1.212</v>
      </c>
    </row>
    <row r="24">
      <c r="A24" s="8" t="inlineStr">
        <is>
          <t>CY2027 normalization factor</t>
        </is>
      </c>
      <c r="B24" s="18" t="n">
        <v>1.045</v>
      </c>
    </row>
    <row r="25">
      <c r="A25" s="8" t="inlineStr">
        <is>
          <t>Coding intensity adjustment</t>
        </is>
      </c>
      <c r="B25" s="19" t="n">
        <v>0.059</v>
      </c>
      <c r="C25" s="15" t="inlineStr">
        <is>
          <t>Statutory minimum is 5.9%. Confirm the CY2027 value in the Rate Announcement.</t>
        </is>
      </c>
    </row>
    <row r="26">
      <c r="A26" s="20" t="inlineStr">
        <is>
          <t>Payment RAF</t>
        </is>
      </c>
      <c r="B26" s="21">
        <f>B23/B24*(1-B25)</f>
        <v/>
      </c>
    </row>
    <row r="28">
      <c r="A28" s="3" t="inlineStr">
        <is>
          <t>PLAN-YEAR ADJUSTMENTS</t>
        </is>
      </c>
    </row>
    <row r="29">
      <c r="A29" s="8" t="inlineStr">
        <is>
          <t>Hospital contract renegotiation (% of IP + OP)</t>
        </is>
      </c>
      <c r="B29" s="22" t="n">
        <v>-0.02</v>
      </c>
      <c r="C29" s="15" t="inlineStr">
        <is>
          <t>Signed LOI, not yet executed — a live desk-review question.</t>
        </is>
      </c>
    </row>
    <row r="30">
      <c r="A30" s="8" t="inlineStr">
        <is>
          <t>Post-acute utilization management program (PMPM)</t>
        </is>
      </c>
      <c r="B30" s="17" t="n">
        <v>-2.8</v>
      </c>
    </row>
    <row r="31">
      <c r="A31" s="8" t="inlineStr">
        <is>
          <t>Induced utilization from richer benefit design (PMPM)</t>
        </is>
      </c>
      <c r="B31" s="17" t="n">
        <v>1.9</v>
      </c>
    </row>
    <row r="32">
      <c r="A32" s="8" t="inlineStr">
        <is>
          <t>New-to-Medicare mix shift, non-risk-score (PMPM)</t>
        </is>
      </c>
      <c r="B32" s="17" t="n">
        <v>-1.6</v>
      </c>
    </row>
    <row r="34">
      <c r="A34" s="3" t="inlineStr">
        <is>
          <t>COST SHARING, ADMINISTRATION &amp; MARGIN</t>
        </is>
      </c>
    </row>
    <row r="35">
      <c r="A35" s="8" t="inlineStr">
        <is>
          <t>Original Medicare-equivalent cost sharing (% of allowed)</t>
        </is>
      </c>
      <c r="B35" s="22" t="n">
        <v>0.135</v>
      </c>
      <c r="C35" s="15" t="inlineStr">
        <is>
          <t>Actuarial value of Part A/B deductibles and coinsurance. The bid is priced at this level; anything richer is rebate-funded.</t>
        </is>
      </c>
    </row>
    <row r="36">
      <c r="A36" s="8" t="inlineStr">
        <is>
          <t>General &amp; administrative (PMPM)</t>
        </is>
      </c>
      <c r="B36" s="17" t="n">
        <v>52</v>
      </c>
    </row>
    <row r="37">
      <c r="A37" s="8" t="inlineStr">
        <is>
          <t>Sales, marketing &amp; broker commissions (PMPM)</t>
        </is>
      </c>
      <c r="B37" s="17" t="n">
        <v>22</v>
      </c>
    </row>
    <row r="38">
      <c r="A38" s="8" t="inlineStr">
        <is>
          <t>Quality improvement activities (PMPM)</t>
        </is>
      </c>
      <c r="B38" s="17" t="n">
        <v>6.5</v>
      </c>
      <c r="C38" s="15" t="inlineStr">
        <is>
          <t>QIA sits in the MLR numerator, not the denominator — see Sheet 8.</t>
        </is>
      </c>
    </row>
    <row r="39">
      <c r="A39" s="8" t="inlineStr">
        <is>
          <t>Premium taxes &amp; fees (PMPM)</t>
        </is>
      </c>
      <c r="B39" s="17" t="n">
        <v>3</v>
      </c>
    </row>
    <row r="40">
      <c r="A40" s="20" t="inlineStr">
        <is>
          <t>Total non-benefit expense (PMPM)</t>
        </is>
      </c>
      <c r="B40" s="23">
        <f>SUM(B36:B39)</f>
        <v/>
      </c>
    </row>
    <row r="41">
      <c r="A41" s="8" t="inlineStr">
        <is>
          <t>Target margin (% of revenue)</t>
        </is>
      </c>
      <c r="B41" s="22" t="n">
        <v>0.035</v>
      </c>
    </row>
    <row r="43">
      <c r="A43" s="3" t="inlineStr">
        <is>
          <t>BENCHMARK</t>
        </is>
      </c>
    </row>
    <row r="44">
      <c r="A44" s="8" t="inlineStr">
        <is>
          <t>County risk-standardized FFS per capita (PMPM)</t>
        </is>
      </c>
      <c r="B44" s="24" t="n">
        <v>1010</v>
      </c>
      <c r="C44" s="15" t="inlineStr">
        <is>
          <t>5-year average, risk-standardized, IME removed, trended forward. From the CMS county ratebook.</t>
        </is>
      </c>
    </row>
    <row r="45">
      <c r="A45" s="8" t="inlineStr">
        <is>
          <t>National FFS spending quartile</t>
        </is>
      </c>
      <c r="B45" s="10" t="n">
        <v>2</v>
      </c>
    </row>
    <row r="46">
      <c r="A46" s="8" t="inlineStr">
        <is>
          <t>Applicable percentage</t>
        </is>
      </c>
      <c r="B46" s="25" t="n">
        <v>1</v>
      </c>
      <c r="C46" s="15" t="inlineStr">
        <is>
          <t>95% / 100% / 107.5% / 115% by national quartile, highest-spending to lowest.</t>
        </is>
      </c>
    </row>
    <row r="47">
      <c r="A47" s="8" t="inlineStr">
        <is>
          <t>Quality bonus (QBP), 4.0+ Stars</t>
        </is>
      </c>
      <c r="B47" s="22" t="n">
        <v>0.05</v>
      </c>
    </row>
    <row r="48">
      <c r="A48" s="8" t="inlineStr">
        <is>
          <t>Rebate share (Star-based)</t>
        </is>
      </c>
      <c r="B48" s="22" t="n">
        <v>0.65</v>
      </c>
      <c r="C48" s="15" t="inlineStr">
        <is>
          <t>50% below 3.5 Stars · 65% at 3.5–4.0 · 70% at 4.5–5.0.</t>
        </is>
      </c>
    </row>
    <row r="50">
      <c r="A50" s="3" t="inlineStr">
        <is>
          <t>COMPLIANCE PARAMETERS</t>
        </is>
      </c>
    </row>
    <row r="51">
      <c r="A51" s="8" t="inlineStr">
        <is>
          <t>CY2026 Total Beneficiary Cost (PMPM)</t>
        </is>
      </c>
      <c r="B51" s="17" t="n">
        <v>85</v>
      </c>
    </row>
    <row r="52">
      <c r="A52" s="8" t="inlineStr">
        <is>
          <t>CMS minimum MLR</t>
        </is>
      </c>
      <c r="B52" s="22" t="n">
        <v>0.85</v>
      </c>
    </row>
    <row r="53">
      <c r="A53" s="8" t="inlineStr">
        <is>
          <t>Plan in-network MOOP ($ / year)</t>
        </is>
      </c>
      <c r="B53" s="26" t="n">
        <v>4900</v>
      </c>
    </row>
    <row r="54">
      <c r="A54" s="8" t="inlineStr">
        <is>
          <t>CMS mandatory MOOP limit ($ / year)</t>
        </is>
      </c>
      <c r="B54" s="27" t="n">
        <v>9350</v>
      </c>
      <c r="C54" s="15" t="inlineStr">
        <is>
          <t>PLACEHOLDER — replace with the published CY2027 mandatory limit before using this model for anything real.</t>
        </is>
      </c>
    </row>
  </sheetData>
  <mergeCells count="9">
    <mergeCell ref="A34:E34"/>
    <mergeCell ref="A50:E50"/>
    <mergeCell ref="A4:E4"/>
    <mergeCell ref="A20:E20"/>
    <mergeCell ref="A43:E43"/>
    <mergeCell ref="A2:E2"/>
    <mergeCell ref="A10:E10"/>
    <mergeCell ref="A28:E28"/>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30" customWidth="1" min="1" max="1"/>
    <col width="14" customWidth="1" min="2" max="2"/>
    <col width="14" customWidth="1" min="3" max="3"/>
    <col width="18" customWidth="1" min="4" max="4"/>
    <col width="13" customWidth="1" min="5" max="5"/>
    <col width="20" customWidth="1" min="6" max="6"/>
    <col width="10" customWidth="1" min="7" max="7"/>
  </cols>
  <sheetData>
    <row r="1" ht="26" customHeight="1">
      <c r="A1" s="1" t="inlineStr">
        <is>
          <t>Step 1  |  Base Period Experience — CY2025 Incurred</t>
        </is>
      </c>
    </row>
    <row r="2">
      <c r="A2" s="2" t="inlineStr">
        <is>
          <t>Paid-basis utilization and unit cost as of the March 2026 data cutoff, brought to an incurred basis by category-specific completion factors. Categories that adjudicate slowly (DME, home health) carry lower completion factors.</t>
        </is>
      </c>
    </row>
    <row r="4" ht="34" customHeight="1">
      <c r="A4" s="28" t="inlineStr">
        <is>
          <t>Service Category</t>
        </is>
      </c>
      <c r="B4" s="28" t="inlineStr">
        <is>
          <t>Utilization
per 1,000</t>
        </is>
      </c>
      <c r="C4" s="28" t="inlineStr">
        <is>
          <t>Cost per
Unit ($)</t>
        </is>
      </c>
      <c r="D4" s="28" t="inlineStr">
        <is>
          <t>Allowed PMPM
Paid Basis ($)</t>
        </is>
      </c>
      <c r="E4" s="28" t="inlineStr">
        <is>
          <t>Completion
Factor</t>
        </is>
      </c>
      <c r="F4" s="28" t="inlineStr">
        <is>
          <t>Completed Allowed
PMPM ($)</t>
        </is>
      </c>
      <c r="G4" s="28" t="inlineStr">
        <is>
          <t>% of
Total</t>
        </is>
      </c>
    </row>
    <row r="5">
      <c r="A5" s="29" t="inlineStr">
        <is>
          <t>Inpatient Facility</t>
        </is>
      </c>
      <c r="B5" s="30" t="n">
        <v>240</v>
      </c>
      <c r="C5" s="31" t="n">
        <v>14500</v>
      </c>
      <c r="D5" s="32">
        <f>B5/1000*C5/12</f>
        <v/>
      </c>
      <c r="E5" s="33" t="n">
        <v>0.995</v>
      </c>
      <c r="F5" s="32">
        <f>D5/E5</f>
        <v/>
      </c>
      <c r="G5" s="34">
        <f>F5/$F$14</f>
        <v/>
      </c>
    </row>
    <row r="6">
      <c r="A6" s="29" t="inlineStr">
        <is>
          <t>Outpatient Facility</t>
        </is>
      </c>
      <c r="B6" s="30" t="n">
        <v>3000</v>
      </c>
      <c r="C6" s="31" t="n">
        <v>850</v>
      </c>
      <c r="D6" s="32">
        <f>B6/1000*C6/12</f>
        <v/>
      </c>
      <c r="E6" s="33" t="n">
        <v>0.985</v>
      </c>
      <c r="F6" s="32">
        <f>D6/E6</f>
        <v/>
      </c>
      <c r="G6" s="34">
        <f>F6/$F$14</f>
        <v/>
      </c>
    </row>
    <row r="7">
      <c r="A7" s="29" t="inlineStr">
        <is>
          <t>Professional</t>
        </is>
      </c>
      <c r="B7" s="30" t="n">
        <v>15000</v>
      </c>
      <c r="C7" s="31" t="n">
        <v>145</v>
      </c>
      <c r="D7" s="32">
        <f>B7/1000*C7/12</f>
        <v/>
      </c>
      <c r="E7" s="33" t="n">
        <v>0.975</v>
      </c>
      <c r="F7" s="32">
        <f>D7/E7</f>
        <v/>
      </c>
      <c r="G7" s="34">
        <f>F7/$F$14</f>
        <v/>
      </c>
    </row>
    <row r="8">
      <c r="A8" s="29" t="inlineStr">
        <is>
          <t>Skilled Nursing Facility</t>
        </is>
      </c>
      <c r="B8" s="30" t="n">
        <v>1100</v>
      </c>
      <c r="C8" s="31" t="n">
        <v>500</v>
      </c>
      <c r="D8" s="32">
        <f>B8/1000*C8/12</f>
        <v/>
      </c>
      <c r="E8" s="33" t="n">
        <v>0.99</v>
      </c>
      <c r="F8" s="32">
        <f>D8/E8</f>
        <v/>
      </c>
      <c r="G8" s="34">
        <f>F8/$F$14</f>
        <v/>
      </c>
    </row>
    <row r="9">
      <c r="A9" s="29" t="inlineStr">
        <is>
          <t>Home Health</t>
        </is>
      </c>
      <c r="B9" s="30" t="n">
        <v>900</v>
      </c>
      <c r="C9" s="31" t="n">
        <v>160</v>
      </c>
      <c r="D9" s="32">
        <f>B9/1000*C9/12</f>
        <v/>
      </c>
      <c r="E9" s="33" t="n">
        <v>0.96</v>
      </c>
      <c r="F9" s="32">
        <f>D9/E9</f>
        <v/>
      </c>
      <c r="G9" s="34">
        <f>F9/$F$14</f>
        <v/>
      </c>
    </row>
    <row r="10">
      <c r="A10" s="29" t="inlineStr">
        <is>
          <t>DME &amp; Supplies</t>
        </is>
      </c>
      <c r="B10" s="30" t="n">
        <v>4500</v>
      </c>
      <c r="C10" s="31" t="n">
        <v>70</v>
      </c>
      <c r="D10" s="32">
        <f>B10/1000*C10/12</f>
        <v/>
      </c>
      <c r="E10" s="33" t="n">
        <v>0.945</v>
      </c>
      <c r="F10" s="32">
        <f>D10/E10</f>
        <v/>
      </c>
      <c r="G10" s="34">
        <f>F10/$F$14</f>
        <v/>
      </c>
    </row>
    <row r="11">
      <c r="A11" s="29" t="inlineStr">
        <is>
          <t>Part B Drugs</t>
        </is>
      </c>
      <c r="B11" s="30" t="n">
        <v>1800</v>
      </c>
      <c r="C11" s="31" t="n">
        <v>310</v>
      </c>
      <c r="D11" s="32">
        <f>B11/1000*C11/12</f>
        <v/>
      </c>
      <c r="E11" s="33" t="n">
        <v>0.99</v>
      </c>
      <c r="F11" s="32">
        <f>D11/E11</f>
        <v/>
      </c>
      <c r="G11" s="34">
        <f>F11/$F$14</f>
        <v/>
      </c>
    </row>
    <row r="12">
      <c r="A12" s="29" t="inlineStr">
        <is>
          <t>Emergency &amp; Urgent Care</t>
        </is>
      </c>
      <c r="B12" s="30" t="n">
        <v>700</v>
      </c>
      <c r="C12" s="31" t="n">
        <v>1150</v>
      </c>
      <c r="D12" s="32">
        <f>B12/1000*C12/12</f>
        <v/>
      </c>
      <c r="E12" s="33" t="n">
        <v>0.992</v>
      </c>
      <c r="F12" s="32">
        <f>D12/E12</f>
        <v/>
      </c>
      <c r="G12" s="34">
        <f>F12/$F$14</f>
        <v/>
      </c>
    </row>
    <row r="13">
      <c r="A13" s="29" t="inlineStr">
        <is>
          <t>Ambulance &amp; Transport</t>
        </is>
      </c>
      <c r="B13" s="30" t="n">
        <v>180</v>
      </c>
      <c r="C13" s="31" t="n">
        <v>520</v>
      </c>
      <c r="D13" s="32">
        <f>B13/1000*C13/12</f>
        <v/>
      </c>
      <c r="E13" s="33" t="n">
        <v>0.97</v>
      </c>
      <c r="F13" s="32">
        <f>D13/E13</f>
        <v/>
      </c>
      <c r="G13" s="34">
        <f>F13/$F$14</f>
        <v/>
      </c>
    </row>
    <row r="14">
      <c r="A14" s="35" t="inlineStr">
        <is>
          <t>TOTAL</t>
        </is>
      </c>
      <c r="B14" s="36" t="n"/>
      <c r="C14" s="36" t="n"/>
      <c r="D14" s="37">
        <f>SUM(D5:D13)</f>
        <v/>
      </c>
      <c r="E14" s="36" t="n"/>
      <c r="F14" s="37">
        <f>SUM(F5:F13)</f>
        <v/>
      </c>
      <c r="G14" s="38">
        <f>SUM(G5:G13)</f>
        <v/>
      </c>
    </row>
    <row r="16">
      <c r="A16" s="20" t="inlineStr">
        <is>
          <t>Blended completion factor</t>
        </is>
      </c>
      <c r="F16" s="39">
        <f>D14/F14</f>
        <v/>
      </c>
    </row>
    <row r="18">
      <c r="A18" s="40" t="inlineStr">
        <is>
          <t>DECISION POINT — Completion factors are the first place a bid can be quietly optimistic. A 1-point overstatement of completion understates the base by roughly $9 PMPM here, which flows straight through trend and compounds. CMS desk review compares the factors used against the plan's own prior-year restatements.</t>
        </is>
      </c>
    </row>
    <row r="19"/>
    <row r="20"/>
  </sheetData>
  <mergeCells count="3">
    <mergeCell ref="A2:G2"/>
    <mergeCell ref="A1:G1"/>
    <mergeCell ref="A18:G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9"/>
  <sheetViews>
    <sheetView showGridLines="0" workbookViewId="0">
      <pane ySplit="4" topLeftCell="A5" activePane="bottomLeft" state="frozen"/>
      <selection pane="bottomLeft" activeCell="A1" sqref="A1"/>
    </sheetView>
  </sheetViews>
  <sheetFormatPr baseColWidth="8" defaultRowHeight="15"/>
  <cols>
    <col width="42" customWidth="1" min="1" max="1"/>
    <col width="19" customWidth="1" min="2" max="2"/>
    <col width="12" customWidth="1" min="3" max="3"/>
    <col width="13" customWidth="1" min="4" max="4"/>
    <col width="17" customWidth="1" min="5" max="5"/>
    <col width="12" customWidth="1" min="6" max="6"/>
    <col width="12" customWidth="1" min="7" max="7"/>
    <col width="13" customWidth="1" min="8" max="8"/>
    <col width="13" customWidth="1" min="9" max="9"/>
    <col width="20" customWidth="1" min="10" max="10"/>
  </cols>
  <sheetData>
    <row r="1" ht="26" customHeight="1">
      <c r="A1" s="1" t="inlineStr">
        <is>
          <t>Steps 2–4  |  Normalize, Trend, and Adjust to the Plan Year</t>
        </is>
      </c>
    </row>
    <row r="2">
      <c r="A2" s="2" t="inlineStr">
        <is>
          <t>Removes one-time items, restates the base to a 1.0-risk population, trends two years forward on separate utilization and unit-cost assumptions, then layers in known plan-year changes.</t>
        </is>
      </c>
    </row>
    <row r="4" ht="34" customHeight="1">
      <c r="A4" s="28" t="inlineStr">
        <is>
          <t>Service Category</t>
        </is>
      </c>
      <c r="B4" s="28" t="inlineStr">
        <is>
          <t>Completed Allowed
PMPM ($)</t>
        </is>
      </c>
      <c r="C4" s="28" t="inlineStr">
        <is>
          <t>One-Time
Items ($)</t>
        </is>
      </c>
      <c r="D4" s="28" t="inlineStr">
        <is>
          <t>Adjusted
Base ($)</t>
        </is>
      </c>
      <c r="E4" s="28" t="inlineStr">
        <is>
          <t>Standardized to
1.0 Risk ($)</t>
        </is>
      </c>
      <c r="F4" s="28" t="inlineStr">
        <is>
          <t>Utilization
Trend</t>
        </is>
      </c>
      <c r="G4" s="28" t="inlineStr">
        <is>
          <t>Unit Cost
Trend</t>
        </is>
      </c>
      <c r="H4" s="28" t="inlineStr">
        <is>
          <t>Annual Total
Trend</t>
        </is>
      </c>
      <c r="I4" s="28" t="inlineStr">
        <is>
          <t>2-Year Trend
Factor</t>
        </is>
      </c>
      <c r="J4" s="28" t="inlineStr">
        <is>
          <t>Trended Standardized
Allowed ($)</t>
        </is>
      </c>
    </row>
    <row r="5">
      <c r="A5" s="29" t="inlineStr">
        <is>
          <t>Inpatient Facility</t>
        </is>
      </c>
      <c r="B5" s="41">
        <f>'2. Base Experience'!F5</f>
        <v/>
      </c>
      <c r="C5" s="41">
        <f>'1. Assumptions'!$B$22</f>
        <v/>
      </c>
      <c r="D5" s="32">
        <f>B5-C5</f>
        <v/>
      </c>
      <c r="E5" s="32">
        <f>D5/'1. Assumptions'!$B$21</f>
        <v/>
      </c>
      <c r="F5" s="33" t="n">
        <v>0.01</v>
      </c>
      <c r="G5" s="33" t="n">
        <v>0.04</v>
      </c>
      <c r="H5" s="42">
        <f>(1+F5)*(1+G5)-1</f>
        <v/>
      </c>
      <c r="I5" s="43">
        <f>(1+H5)^'1. Assumptions'!$B$14</f>
        <v/>
      </c>
      <c r="J5" s="32">
        <f>E5*I5</f>
        <v/>
      </c>
    </row>
    <row r="6">
      <c r="A6" s="29" t="inlineStr">
        <is>
          <t>Outpatient Facility</t>
        </is>
      </c>
      <c r="B6" s="41">
        <f>'2. Base Experience'!F6</f>
        <v/>
      </c>
      <c r="C6" s="44" t="n">
        <v>0</v>
      </c>
      <c r="D6" s="32">
        <f>B6-C6</f>
        <v/>
      </c>
      <c r="E6" s="32">
        <f>D6/'1. Assumptions'!$B$21</f>
        <v/>
      </c>
      <c r="F6" s="33" t="n">
        <v>0.025</v>
      </c>
      <c r="G6" s="33" t="n">
        <v>0.045</v>
      </c>
      <c r="H6" s="42">
        <f>(1+F6)*(1+G6)-1</f>
        <v/>
      </c>
      <c r="I6" s="43">
        <f>(1+H6)^'1. Assumptions'!$B$14</f>
        <v/>
      </c>
      <c r="J6" s="32">
        <f>E6*I6</f>
        <v/>
      </c>
    </row>
    <row r="7">
      <c r="A7" s="29" t="inlineStr">
        <is>
          <t>Professional</t>
        </is>
      </c>
      <c r="B7" s="41">
        <f>'2. Base Experience'!F7</f>
        <v/>
      </c>
      <c r="C7" s="44" t="n">
        <v>0</v>
      </c>
      <c r="D7" s="32">
        <f>B7-C7</f>
        <v/>
      </c>
      <c r="E7" s="32">
        <f>D7/'1. Assumptions'!$B$21</f>
        <v/>
      </c>
      <c r="F7" s="33" t="n">
        <v>0.015</v>
      </c>
      <c r="G7" s="33" t="n">
        <v>0.028</v>
      </c>
      <c r="H7" s="42">
        <f>(1+F7)*(1+G7)-1</f>
        <v/>
      </c>
      <c r="I7" s="43">
        <f>(1+H7)^'1. Assumptions'!$B$14</f>
        <v/>
      </c>
      <c r="J7" s="32">
        <f>E7*I7</f>
        <v/>
      </c>
    </row>
    <row r="8">
      <c r="A8" s="29" t="inlineStr">
        <is>
          <t>Skilled Nursing Facility</t>
        </is>
      </c>
      <c r="B8" s="41">
        <f>'2. Base Experience'!F8</f>
        <v/>
      </c>
      <c r="C8" s="44" t="n">
        <v>0</v>
      </c>
      <c r="D8" s="32">
        <f>B8-C8</f>
        <v/>
      </c>
      <c r="E8" s="32">
        <f>D8/'1. Assumptions'!$B$21</f>
        <v/>
      </c>
      <c r="F8" s="33" t="n">
        <v>0.005</v>
      </c>
      <c r="G8" s="33" t="n">
        <v>0.04</v>
      </c>
      <c r="H8" s="42">
        <f>(1+F8)*(1+G8)-1</f>
        <v/>
      </c>
      <c r="I8" s="43">
        <f>(1+H8)^'1. Assumptions'!$B$14</f>
        <v/>
      </c>
      <c r="J8" s="32">
        <f>E8*I8</f>
        <v/>
      </c>
    </row>
    <row r="9">
      <c r="A9" s="29" t="inlineStr">
        <is>
          <t>Home Health</t>
        </is>
      </c>
      <c r="B9" s="41">
        <f>'2. Base Experience'!F9</f>
        <v/>
      </c>
      <c r="C9" s="44" t="n">
        <v>0</v>
      </c>
      <c r="D9" s="32">
        <f>B9-C9</f>
        <v/>
      </c>
      <c r="E9" s="32">
        <f>D9/'1. Assumptions'!$B$21</f>
        <v/>
      </c>
      <c r="F9" s="33" t="n">
        <v>0.03</v>
      </c>
      <c r="G9" s="33" t="n">
        <v>0.03</v>
      </c>
      <c r="H9" s="42">
        <f>(1+F9)*(1+G9)-1</f>
        <v/>
      </c>
      <c r="I9" s="43">
        <f>(1+H9)^'1. Assumptions'!$B$14</f>
        <v/>
      </c>
      <c r="J9" s="32">
        <f>E9*I9</f>
        <v/>
      </c>
    </row>
    <row r="10">
      <c r="A10" s="29" t="inlineStr">
        <is>
          <t>DME &amp; Supplies</t>
        </is>
      </c>
      <c r="B10" s="41">
        <f>'2. Base Experience'!F10</f>
        <v/>
      </c>
      <c r="C10" s="44" t="n">
        <v>0</v>
      </c>
      <c r="D10" s="32">
        <f>B10-C10</f>
        <v/>
      </c>
      <c r="E10" s="32">
        <f>D10/'1. Assumptions'!$B$21</f>
        <v/>
      </c>
      <c r="F10" s="33" t="n">
        <v>0.01</v>
      </c>
      <c r="G10" s="33" t="n">
        <v>0.025</v>
      </c>
      <c r="H10" s="42">
        <f>(1+F10)*(1+G10)-1</f>
        <v/>
      </c>
      <c r="I10" s="43">
        <f>(1+H10)^'1. Assumptions'!$B$14</f>
        <v/>
      </c>
      <c r="J10" s="32">
        <f>E10*I10</f>
        <v/>
      </c>
    </row>
    <row r="11">
      <c r="A11" s="29" t="inlineStr">
        <is>
          <t>Part B Drugs</t>
        </is>
      </c>
      <c r="B11" s="41">
        <f>'2. Base Experience'!F11</f>
        <v/>
      </c>
      <c r="C11" s="44" t="n">
        <v>0</v>
      </c>
      <c r="D11" s="32">
        <f>B11-C11</f>
        <v/>
      </c>
      <c r="E11" s="32">
        <f>D11/'1. Assumptions'!$B$21</f>
        <v/>
      </c>
      <c r="F11" s="33" t="n">
        <v>0.04</v>
      </c>
      <c r="G11" s="33" t="n">
        <v>0.065</v>
      </c>
      <c r="H11" s="42">
        <f>(1+F11)*(1+G11)-1</f>
        <v/>
      </c>
      <c r="I11" s="43">
        <f>(1+H11)^'1. Assumptions'!$B$14</f>
        <v/>
      </c>
      <c r="J11" s="32">
        <f>E11*I11</f>
        <v/>
      </c>
    </row>
    <row r="12">
      <c r="A12" s="29" t="inlineStr">
        <is>
          <t>Emergency &amp; Urgent Care</t>
        </is>
      </c>
      <c r="B12" s="41">
        <f>'2. Base Experience'!F12</f>
        <v/>
      </c>
      <c r="C12" s="44" t="n">
        <v>0</v>
      </c>
      <c r="D12" s="32">
        <f>B12-C12</f>
        <v/>
      </c>
      <c r="E12" s="32">
        <f>D12/'1. Assumptions'!$B$21</f>
        <v/>
      </c>
      <c r="F12" s="33" t="n">
        <v>0.02</v>
      </c>
      <c r="G12" s="33" t="n">
        <v>0.045</v>
      </c>
      <c r="H12" s="42">
        <f>(1+F12)*(1+G12)-1</f>
        <v/>
      </c>
      <c r="I12" s="43">
        <f>(1+H12)^'1. Assumptions'!$B$14</f>
        <v/>
      </c>
      <c r="J12" s="32">
        <f>E12*I12</f>
        <v/>
      </c>
    </row>
    <row r="13">
      <c r="A13" s="29" t="inlineStr">
        <is>
          <t>Ambulance &amp; Transport</t>
        </is>
      </c>
      <c r="B13" s="41">
        <f>'2. Base Experience'!F13</f>
        <v/>
      </c>
      <c r="C13" s="44" t="n">
        <v>0</v>
      </c>
      <c r="D13" s="32">
        <f>B13-C13</f>
        <v/>
      </c>
      <c r="E13" s="32">
        <f>D13/'1. Assumptions'!$B$21</f>
        <v/>
      </c>
      <c r="F13" s="33" t="n">
        <v>0.015</v>
      </c>
      <c r="G13" s="33" t="n">
        <v>0.05</v>
      </c>
      <c r="H13" s="42">
        <f>(1+F13)*(1+G13)-1</f>
        <v/>
      </c>
      <c r="I13" s="43">
        <f>(1+H13)^'1. Assumptions'!$B$14</f>
        <v/>
      </c>
      <c r="J13" s="32">
        <f>E13*I13</f>
        <v/>
      </c>
    </row>
    <row r="14">
      <c r="A14" s="35" t="inlineStr">
        <is>
          <t>TOTAL</t>
        </is>
      </c>
      <c r="B14" s="37">
        <f>SUM(B5:B13)</f>
        <v/>
      </c>
      <c r="C14" s="37">
        <f>SUM(C5:C13)</f>
        <v/>
      </c>
      <c r="D14" s="37">
        <f>SUM(D5:D13)</f>
        <v/>
      </c>
      <c r="E14" s="37">
        <f>SUM(E5:E13)</f>
        <v/>
      </c>
      <c r="F14" s="36" t="n"/>
      <c r="G14" s="36" t="n"/>
      <c r="H14" s="36" t="n"/>
      <c r="I14" s="36" t="n"/>
      <c r="J14" s="37">
        <f>SUM(J5:J13)</f>
        <v/>
      </c>
    </row>
    <row r="16">
      <c r="A16" s="3" t="inlineStr">
        <is>
          <t>PLAN-YEAR ADJUSTMENTS</t>
        </is>
      </c>
    </row>
    <row r="17">
      <c r="A17" s="8" t="inlineStr">
        <is>
          <t>Trended standardized allowed, before adjustments</t>
        </is>
      </c>
      <c r="B17" s="45">
        <f>J14</f>
        <v/>
      </c>
    </row>
    <row r="18">
      <c r="A18" s="8" t="inlineStr">
        <is>
          <t>Hospital contract renegotiation (applied to IP + OP)</t>
        </is>
      </c>
      <c r="B18" s="45">
        <f>(J5+J6)*'1. Assumptions'!$B$29</f>
        <v/>
      </c>
    </row>
    <row r="19">
      <c r="A19" s="8" t="inlineStr">
        <is>
          <t>Post-acute utilization management program</t>
        </is>
      </c>
      <c r="B19" s="46">
        <f>'1. Assumptions'!$B$30</f>
        <v/>
      </c>
    </row>
    <row r="20">
      <c r="A20" s="8" t="inlineStr">
        <is>
          <t>Induced utilization from richer benefit design</t>
        </is>
      </c>
      <c r="B20" s="46">
        <f>'1. Assumptions'!$B$31</f>
        <v/>
      </c>
    </row>
    <row r="21">
      <c r="A21" s="8" t="inlineStr">
        <is>
          <t>New-to-Medicare mix shift (non-risk-score)</t>
        </is>
      </c>
      <c r="B21" s="46">
        <f>'1. Assumptions'!$B$32</f>
        <v/>
      </c>
    </row>
    <row r="22">
      <c r="A22" s="20" t="inlineStr">
        <is>
          <t>Net plan-year adjustments</t>
        </is>
      </c>
      <c r="B22" s="23">
        <f>SUM(B18:B21)</f>
        <v/>
      </c>
    </row>
    <row r="23">
      <c r="A23" s="47" t="inlineStr">
        <is>
          <t>PROJECTED ALLOWED PMPM — CY2027, 1.0 RISK</t>
        </is>
      </c>
      <c r="B23" s="48">
        <f>B17+B22</f>
        <v/>
      </c>
    </row>
    <row r="25">
      <c r="A25" s="8" t="inlineStr">
        <is>
          <t>Memo: implied blended annual trend</t>
        </is>
      </c>
      <c r="B25" s="49">
        <f>(J14/E14)^(1/'1. Assumptions'!$B$14)-1</f>
        <v/>
      </c>
    </row>
    <row r="27">
      <c r="A27" s="40" t="inlineStr">
        <is>
          <t>DECISION POINT — Trend is the single most scrutinized assumption in desk review and the largest source of bid risk. Splitting it into utilization and unit cost by service category is what makes it defensible: a 6.5% unit-cost trend on Part B drugs is arguable from a fee schedule, while a 6.5% blended trend on everything is not. Note also that the hospital renegotiation is a signed LOI, not an executed contract — reflecting an unsigned contract is a legitimate actuarial judgment and a predictable CMS question.</t>
        </is>
      </c>
    </row>
    <row r="28"/>
    <row r="29"/>
  </sheetData>
  <mergeCells count="4">
    <mergeCell ref="A16:J16"/>
    <mergeCell ref="A1:J1"/>
    <mergeCell ref="A27:J29"/>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showGridLines="0" workbookViewId="0">
      <pane ySplit="4" topLeftCell="A5" activePane="bottomLeft" state="frozen"/>
      <selection pane="bottomLeft" activeCell="A1" sqref="A1"/>
    </sheetView>
  </sheetViews>
  <sheetFormatPr baseColWidth="8" defaultRowHeight="15"/>
  <cols>
    <col width="52" customWidth="1" min="1" max="1"/>
    <col width="18" customWidth="1" min="2" max="2"/>
    <col width="95" customWidth="1" min="3" max="3"/>
  </cols>
  <sheetData>
    <row r="1" ht="26" customHeight="1">
      <c r="A1" s="1" t="inlineStr">
        <is>
          <t>Steps 5–7  |  Plan Liability, Non-Benefit Expense, and Margin</t>
        </is>
      </c>
    </row>
    <row r="2">
      <c r="A2" s="2" t="inlineStr">
        <is>
          <t>Converts projected allowed cost into the plan's revenue requirement for the basic Part A/B package.</t>
        </is>
      </c>
    </row>
    <row r="4">
      <c r="A4" s="20" t="inlineStr">
        <is>
          <t>Projected allowed PMPM (CY2027, 1.0 risk)</t>
        </is>
      </c>
      <c r="B4" s="50">
        <f>'3. Projected Allowed'!$B$23</f>
        <v/>
      </c>
    </row>
    <row r="5">
      <c r="A5" s="8" t="inlineStr">
        <is>
          <t>Less: member cost sharing at Original Medicare-equivalent AV</t>
        </is>
      </c>
      <c r="B5" s="45">
        <f>-B4*'1. Assumptions'!$B$35</f>
        <v/>
      </c>
      <c r="C5" s="15" t="inlineStr">
        <is>
          <t>The bid is priced at Original Medicare cost-sharing levels. Richer cost sharing is funded from the rebate, not the bid — see Sheet 7.</t>
        </is>
      </c>
    </row>
    <row r="6">
      <c r="A6" s="20" t="inlineStr">
        <is>
          <t>Plan-paid basic A/B benefit cost</t>
        </is>
      </c>
      <c r="B6" s="51">
        <f>B4+B5</f>
        <v/>
      </c>
    </row>
    <row r="8">
      <c r="A8" s="3" t="inlineStr">
        <is>
          <t>NON-BENEFIT EXPENSE</t>
        </is>
      </c>
    </row>
    <row r="9">
      <c r="A9" s="8" t="inlineStr">
        <is>
          <t>General &amp; administrative</t>
        </is>
      </c>
      <c r="B9" s="46">
        <f>'1. Assumptions'!$B$36</f>
        <v/>
      </c>
    </row>
    <row r="10">
      <c r="A10" s="8" t="inlineStr">
        <is>
          <t>Sales, marketing &amp; broker commissions</t>
        </is>
      </c>
      <c r="B10" s="46">
        <f>'1. Assumptions'!$B$37</f>
        <v/>
      </c>
    </row>
    <row r="11">
      <c r="A11" s="8" t="inlineStr">
        <is>
          <t>Quality improvement activities</t>
        </is>
      </c>
      <c r="B11" s="46">
        <f>'1. Assumptions'!$B$38</f>
        <v/>
      </c>
    </row>
    <row r="12">
      <c r="A12" s="8" t="inlineStr">
        <is>
          <t>Premium taxes &amp; fees</t>
        </is>
      </c>
      <c r="B12" s="46">
        <f>'1. Assumptions'!$B$39</f>
        <v/>
      </c>
    </row>
    <row r="13">
      <c r="A13" s="20" t="inlineStr">
        <is>
          <t>Total non-benefit expense</t>
        </is>
      </c>
      <c r="B13" s="51">
        <f>SUM(B9:B12)</f>
        <v/>
      </c>
    </row>
    <row r="15">
      <c r="A15" s="3" t="inlineStr">
        <is>
          <t>MARGIN &amp; BID</t>
        </is>
      </c>
    </row>
    <row r="16">
      <c r="A16" s="8" t="inlineStr">
        <is>
          <t>Claims + non-benefit expense</t>
        </is>
      </c>
      <c r="B16" s="45">
        <f>B6+B13</f>
        <v/>
      </c>
    </row>
    <row r="17">
      <c r="A17" s="8" t="inlineStr">
        <is>
          <t>Target margin (% of revenue)</t>
        </is>
      </c>
      <c r="B17" s="52">
        <f>'1. Assumptions'!$B$41</f>
        <v/>
      </c>
    </row>
    <row r="18">
      <c r="A18" s="8" t="inlineStr">
        <is>
          <t>Gain / loss margin (solved)</t>
        </is>
      </c>
      <c r="B18" s="45">
        <f>B16/(1-B17)-B16</f>
        <v/>
      </c>
      <c r="C18" s="15" t="inlineStr">
        <is>
          <t>Margin is a percentage OF REVENUE, so it is grossed up: cost / (1 - margin), not cost x (1 + margin).</t>
        </is>
      </c>
    </row>
    <row r="19">
      <c r="A19" s="47" t="inlineStr">
        <is>
          <t>STANDARDIZED A/B BID (PMPM)</t>
        </is>
      </c>
      <c r="B19" s="48">
        <f>B16+B18</f>
        <v/>
      </c>
    </row>
    <row r="21">
      <c r="A21" s="8" t="inlineStr">
        <is>
          <t>Memo: margin as % of bid</t>
        </is>
      </c>
      <c r="B21" s="49">
        <f>B18/B19</f>
        <v/>
      </c>
    </row>
    <row r="22">
      <c r="A22" s="8" t="inlineStr">
        <is>
          <t>Memo: benefit expense ratio of bid</t>
        </is>
      </c>
      <c r="B22" s="53">
        <f>B6/B19</f>
        <v/>
      </c>
    </row>
  </sheetData>
  <mergeCells count="4">
    <mergeCell ref="A1:D1"/>
    <mergeCell ref="A8:D8"/>
    <mergeCell ref="A2:D2"/>
    <mergeCell ref="A15:D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7" customWidth="1" min="1" max="1"/>
    <col width="42" customWidth="1" min="2" max="2"/>
    <col width="16" customWidth="1" min="3" max="3"/>
    <col width="18" customWidth="1" min="4" max="4"/>
    <col width="72" customWidth="1" min="5" max="5"/>
  </cols>
  <sheetData>
    <row r="1" ht="26" customHeight="1">
      <c r="A1" s="1" t="inlineStr">
        <is>
          <t>The Bid Waterfall  |  From Base Experience to Standardized Bid</t>
        </is>
      </c>
    </row>
    <row r="2">
      <c r="A2" s="2" t="inlineStr">
        <is>
          <t>Every step from Sheet 2 through Sheet 4, in one column. This is the view a reviewer asks for first.</t>
        </is>
      </c>
    </row>
    <row r="4" ht="34" customHeight="1">
      <c r="A4" s="28" t="inlineStr">
        <is>
          <t>Step</t>
        </is>
      </c>
      <c r="B4" s="28" t="inlineStr">
        <is>
          <t>Component</t>
        </is>
      </c>
      <c r="C4" s="28" t="inlineStr">
        <is>
          <t>PMPM ($)</t>
        </is>
      </c>
      <c r="D4" s="28" t="inlineStr">
        <is>
          <t>Running Total ($)</t>
        </is>
      </c>
      <c r="E4" s="28" t="inlineStr">
        <is>
          <t>Comment</t>
        </is>
      </c>
    </row>
    <row r="5">
      <c r="A5" s="54" t="inlineStr">
        <is>
          <t>1</t>
        </is>
      </c>
      <c r="B5" s="29" t="inlineStr">
        <is>
          <t>Completed allowed cost — CY2025 base</t>
        </is>
      </c>
      <c r="C5" s="41">
        <f>'2. Base Experience'!F14</f>
        <v/>
      </c>
      <c r="D5" s="32">
        <f>C5</f>
        <v/>
      </c>
      <c r="E5" s="55" t="inlineStr">
        <is>
          <t>Sheet 2. Incurred basis, all service categories.</t>
        </is>
      </c>
    </row>
    <row r="6">
      <c r="A6" s="54" t="inlineStr">
        <is>
          <t>2</t>
        </is>
      </c>
      <c r="B6" s="29" t="inlineStr">
        <is>
          <t>Remove one-time items</t>
        </is>
      </c>
      <c r="C6" s="41">
        <f>-'3. Projected Allowed'!C14</f>
        <v/>
      </c>
      <c r="D6" s="32">
        <f>D5+C6</f>
        <v/>
      </c>
      <c r="E6" s="55" t="inlineStr">
        <is>
          <t>Retroactive settlement stripped out of the base.</t>
        </is>
      </c>
    </row>
    <row r="7">
      <c r="A7" s="54" t="inlineStr">
        <is>
          <t>3</t>
        </is>
      </c>
      <c r="B7" s="29" t="inlineStr">
        <is>
          <t>Standardize to 1.0 risk</t>
        </is>
      </c>
      <c r="C7" s="41">
        <f>'3. Projected Allowed'!E14-D6</f>
        <v/>
      </c>
      <c r="D7" s="32">
        <f>D6+C7</f>
        <v/>
      </c>
      <c r="E7" s="55" t="inlineStr">
        <is>
          <t>Divide by base-period RAF of 1.082. The bid must describe an average beneficiary.</t>
        </is>
      </c>
    </row>
    <row r="8">
      <c r="A8" s="54" t="inlineStr">
        <is>
          <t>4</t>
        </is>
      </c>
      <c r="B8" s="29" t="inlineStr">
        <is>
          <t>Trend forward two years</t>
        </is>
      </c>
      <c r="C8" s="41">
        <f>'3. Projected Allowed'!J14-D7</f>
        <v/>
      </c>
      <c r="D8" s="32">
        <f>D7+C8</f>
        <v/>
      </c>
      <c r="E8" s="55" t="inlineStr">
        <is>
          <t>Category-level utilization and unit-cost trend, CY2025 to CY2027.</t>
        </is>
      </c>
    </row>
    <row r="9">
      <c r="A9" s="54" t="inlineStr">
        <is>
          <t>5</t>
        </is>
      </c>
      <c r="B9" s="29" t="inlineStr">
        <is>
          <t>Plan-year adjustments</t>
        </is>
      </c>
      <c r="C9" s="41">
        <f>'3. Projected Allowed'!B22</f>
        <v/>
      </c>
      <c r="D9" s="32">
        <f>D8+C9</f>
        <v/>
      </c>
      <c r="E9" s="55" t="inlineStr">
        <is>
          <t>Contract renegotiation, UM program, induced demand, mix shift.</t>
        </is>
      </c>
    </row>
    <row r="10">
      <c r="A10" s="54" t="inlineStr">
        <is>
          <t>6</t>
        </is>
      </c>
      <c r="B10" s="29" t="inlineStr">
        <is>
          <t>Less member cost sharing</t>
        </is>
      </c>
      <c r="C10" s="41">
        <f>'4. Plan Liability'!B5</f>
        <v/>
      </c>
      <c r="D10" s="32">
        <f>D9+C10</f>
        <v/>
      </c>
      <c r="E10" s="55" t="inlineStr">
        <is>
          <t>Priced at Original Medicare-equivalent actuarial value.</t>
        </is>
      </c>
    </row>
    <row r="11">
      <c r="A11" s="54" t="inlineStr">
        <is>
          <t>7</t>
        </is>
      </c>
      <c r="B11" s="29" t="inlineStr">
        <is>
          <t>Add non-benefit expense</t>
        </is>
      </c>
      <c r="C11" s="41">
        <f>'4. Plan Liability'!B13</f>
        <v/>
      </c>
      <c r="D11" s="32">
        <f>D10+C11</f>
        <v/>
      </c>
      <c r="E11" s="55" t="inlineStr">
        <is>
          <t>Admin, distribution, QIA, taxes and fees.</t>
        </is>
      </c>
    </row>
    <row r="12">
      <c r="A12" s="54" t="inlineStr">
        <is>
          <t>8</t>
        </is>
      </c>
      <c r="B12" s="29" t="inlineStr">
        <is>
          <t>Add gain / loss margin</t>
        </is>
      </c>
      <c r="C12" s="41">
        <f>'4. Plan Liability'!B18</f>
        <v/>
      </c>
      <c r="D12" s="32">
        <f>D11+C12</f>
        <v/>
      </c>
      <c r="E12" s="55" t="inlineStr">
        <is>
          <t>Grossed up to a 3.5% margin on revenue.</t>
        </is>
      </c>
    </row>
    <row r="13">
      <c r="A13" s="56" t="n"/>
      <c r="B13" s="47" t="inlineStr">
        <is>
          <t>STANDARDIZED A/B BID</t>
        </is>
      </c>
      <c r="C13" s="56" t="n"/>
      <c r="D13" s="48">
        <f>D12</f>
        <v/>
      </c>
      <c r="E13" s="56" t="n"/>
    </row>
    <row r="15">
      <c r="B15" s="8" t="inlineStr">
        <is>
          <t>Tie-out check vs Sheet 4 (must be zero)</t>
        </is>
      </c>
      <c r="D15" s="45">
        <f>D13-'4. Plan Liability'!B19</f>
        <v/>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showGridLines="0" workbookViewId="0">
      <pane ySplit="4" topLeftCell="A5" activePane="bottomLeft" state="frozen"/>
      <selection pane="bottomLeft" activeCell="A1" sqref="A1"/>
    </sheetView>
  </sheetViews>
  <sheetFormatPr baseColWidth="8" defaultRowHeight="15"/>
  <cols>
    <col width="52" customWidth="1" min="1" max="1"/>
    <col width="18" customWidth="1" min="2" max="2"/>
    <col width="90" customWidth="1" min="3" max="3"/>
  </cols>
  <sheetData>
    <row r="1" ht="26" customHeight="1">
      <c r="A1" s="1" t="inlineStr">
        <is>
          <t>Step 8  |  Benchmark Comparison, Savings, Rebate, and Payment</t>
        </is>
      </c>
    </row>
    <row r="2">
      <c r="A2" s="2" t="inlineStr">
        <is>
          <t>Where the plan's bid meets the CMS county ratebook, and where Star Ratings turn into dollars.</t>
        </is>
      </c>
    </row>
    <row r="4">
      <c r="A4" s="3" t="inlineStr">
        <is>
          <t>BENCHMARK BUILD</t>
        </is>
      </c>
    </row>
    <row r="5">
      <c r="A5" s="8" t="inlineStr">
        <is>
          <t>County risk-standardized FFS per capita</t>
        </is>
      </c>
      <c r="B5" s="46">
        <f>'1. Assumptions'!$B$44</f>
        <v/>
      </c>
    </row>
    <row r="6">
      <c r="A6" s="8" t="inlineStr">
        <is>
          <t>National FFS spending quartile</t>
        </is>
      </c>
      <c r="B6" s="57">
        <f>'1. Assumptions'!$B$45</f>
        <v/>
      </c>
    </row>
    <row r="7">
      <c r="A7" s="8" t="inlineStr">
        <is>
          <t>Applicable percentage</t>
        </is>
      </c>
      <c r="B7" s="52">
        <f>'1. Assumptions'!$B$46</f>
        <v/>
      </c>
    </row>
    <row r="8">
      <c r="A8" s="8" t="inlineStr">
        <is>
          <t>Base benchmark</t>
        </is>
      </c>
      <c r="B8" s="45">
        <f>B5*B7</f>
        <v/>
      </c>
    </row>
    <row r="9">
      <c r="A9" s="8" t="inlineStr">
        <is>
          <t>Quality bonus (4.0+ Stars)</t>
        </is>
      </c>
      <c r="B9" s="45">
        <f>B8*'1. Assumptions'!$B$47</f>
        <v/>
      </c>
    </row>
    <row r="10">
      <c r="A10" s="20" t="inlineStr">
        <is>
          <t>FINAL BENCHMARK</t>
        </is>
      </c>
      <c r="B10" s="51">
        <f>B8+B9</f>
        <v/>
      </c>
      <c r="C10" s="15" t="inlineStr">
        <is>
          <t>A statutory cap can bind here in a small number of counties, holding the benchmark to its grown pre-ACA level. Not binding in this example.</t>
        </is>
      </c>
    </row>
    <row r="12">
      <c r="A12" s="3" t="inlineStr">
        <is>
          <t>BID vs BENCHMARK</t>
        </is>
      </c>
    </row>
    <row r="13">
      <c r="A13" s="8" t="inlineStr">
        <is>
          <t>Standardized A/B bid</t>
        </is>
      </c>
      <c r="B13" s="46">
        <f>'5. Standardized Bid'!D13</f>
        <v/>
      </c>
    </row>
    <row r="14">
      <c r="A14" s="20" t="inlineStr">
        <is>
          <t>Savings (benchmark less bid)</t>
        </is>
      </c>
      <c r="B14" s="23">
        <f>B10-B13</f>
        <v/>
      </c>
    </row>
    <row r="15">
      <c r="A15" s="8" t="inlineStr">
        <is>
          <t>Rebate share (Star-based)</t>
        </is>
      </c>
      <c r="B15" s="52">
        <f>'1. Assumptions'!$B$48</f>
        <v/>
      </c>
    </row>
    <row r="16">
      <c r="A16" s="20" t="inlineStr">
        <is>
          <t>Rebate to plan (earmarked for member value)</t>
        </is>
      </c>
      <c r="B16" s="23">
        <f>B14*B15</f>
        <v/>
      </c>
    </row>
    <row r="17">
      <c r="A17" s="8" t="inlineStr">
        <is>
          <t>Government share — never paid out, stays in the Trust Funds</t>
        </is>
      </c>
      <c r="B17" s="45">
        <f>B14-B16</f>
        <v/>
      </c>
    </row>
    <row r="18">
      <c r="A18" s="8" t="inlineStr">
        <is>
          <t>Member basic premium</t>
        </is>
      </c>
      <c r="B18" s="45">
        <f>MAX(0,B13-B10)</f>
        <v/>
      </c>
      <c r="C18" s="15" t="inlineStr">
        <is>
          <t>Zero whenever the bid lands under the benchmark. A bid above the benchmark becomes a member premium.</t>
        </is>
      </c>
    </row>
    <row r="20">
      <c r="A20" s="3" t="inlineStr">
        <is>
          <t>PAYMENT</t>
        </is>
      </c>
    </row>
    <row r="21">
      <c r="A21" s="8" t="inlineStr">
        <is>
          <t>Bid + rebate (standardized, 1.0 risk)</t>
        </is>
      </c>
      <c r="B21" s="45">
        <f>B13+B16</f>
        <v/>
      </c>
    </row>
    <row r="22">
      <c r="A22" s="8" t="inlineStr">
        <is>
          <t>Payment RAF</t>
        </is>
      </c>
      <c r="B22" s="58">
        <f>'1. Assumptions'!$B$26</f>
        <v/>
      </c>
    </row>
    <row r="23">
      <c r="A23" s="47" t="inlineStr">
        <is>
          <t>PAYMENT PMPM (risk-adjusted)</t>
        </is>
      </c>
      <c r="B23" s="48">
        <f>B21*B22</f>
        <v/>
      </c>
    </row>
    <row r="24">
      <c r="A24" s="8" t="inlineStr">
        <is>
          <t>Members</t>
        </is>
      </c>
      <c r="B24" s="59">
        <f>'1. Assumptions'!$B$15</f>
        <v/>
      </c>
    </row>
    <row r="25">
      <c r="A25" s="20" t="inlineStr">
        <is>
          <t>Annual plan revenue</t>
        </is>
      </c>
      <c r="B25" s="60">
        <f>B23*12*B24</f>
        <v/>
      </c>
    </row>
    <row r="27">
      <c r="A27" s="40" t="inlineStr">
        <is>
          <t>DECISION POINT — The plan does not choose its benchmark, but it does choose which counties to bid in. A county one quartile lower pays 7.5 points more of its own FFS cost. Service-area strategy is set months before any of this arithmetic runs.</t>
        </is>
      </c>
    </row>
    <row r="28"/>
    <row r="29"/>
  </sheetData>
  <mergeCells count="6">
    <mergeCell ref="A1:D1"/>
    <mergeCell ref="A12:D12"/>
    <mergeCell ref="A4:D4"/>
    <mergeCell ref="A20:D20"/>
    <mergeCell ref="A2:D2"/>
    <mergeCell ref="A27:D2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8"/>
  <sheetViews>
    <sheetView showGridLines="0" workbookViewId="0">
      <pane ySplit="4" topLeftCell="A5" activePane="bottomLeft" state="frozen"/>
      <selection pane="bottomLeft" activeCell="A1" sqref="A1"/>
    </sheetView>
  </sheetViews>
  <sheetFormatPr baseColWidth="8" defaultRowHeight="15"/>
  <cols>
    <col width="52" customWidth="1" min="1" max="1"/>
    <col width="18" customWidth="1" min="2" max="2"/>
    <col width="80" customWidth="1" min="3" max="3"/>
  </cols>
  <sheetData>
    <row r="1" ht="26" customHeight="1">
      <c r="A1" s="1" t="inlineStr">
        <is>
          <t>Step 9  |  Rebate Allocation — Turning Savings into Member Value</t>
        </is>
      </c>
    </row>
    <row r="2">
      <c r="A2" s="2" t="inlineStr">
        <is>
          <t>The rebate cannot flow to the bottom line as ordinary profit. It must be spent here. Margin on delivering these benefits is the balancing item.</t>
        </is>
      </c>
    </row>
    <row r="4">
      <c r="A4" s="20" t="inlineStr">
        <is>
          <t>Rebate available (PMPM)</t>
        </is>
      </c>
      <c r="B4" s="50">
        <f>'6. Benchmark &amp; Rebate'!B16</f>
        <v/>
      </c>
    </row>
    <row r="6">
      <c r="A6" s="3" t="inlineStr">
        <is>
          <t>REDUCED COST SHARING</t>
        </is>
      </c>
    </row>
    <row r="7">
      <c r="A7" s="8" t="inlineStr">
        <is>
          <t>Buy-down of A/B cost sharing below Original Medicare</t>
        </is>
      </c>
      <c r="B7" s="17" t="n">
        <v>46</v>
      </c>
    </row>
    <row r="9">
      <c r="A9" s="3" t="inlineStr">
        <is>
          <t>SUPPLEMENTAL BENEFITS</t>
        </is>
      </c>
    </row>
    <row r="10">
      <c r="A10" s="8" t="inlineStr">
        <is>
          <t>Comprehensive dental</t>
        </is>
      </c>
      <c r="B10" s="17" t="n">
        <v>18.5</v>
      </c>
    </row>
    <row r="11">
      <c r="A11" s="8" t="inlineStr">
        <is>
          <t>Vision</t>
        </is>
      </c>
      <c r="B11" s="17" t="n">
        <v>3.2</v>
      </c>
    </row>
    <row r="12">
      <c r="A12" s="8" t="inlineStr">
        <is>
          <t>Hearing</t>
        </is>
      </c>
      <c r="B12" s="17" t="n">
        <v>4.8</v>
      </c>
    </row>
    <row r="13">
      <c r="A13" s="8" t="inlineStr">
        <is>
          <t>OTC / flex card</t>
        </is>
      </c>
      <c r="B13" s="17" t="n">
        <v>8.4</v>
      </c>
    </row>
    <row r="14">
      <c r="A14" s="8" t="inlineStr">
        <is>
          <t>Fitness</t>
        </is>
      </c>
      <c r="B14" s="17" t="n">
        <v>3.1</v>
      </c>
    </row>
    <row r="15">
      <c r="A15" s="20" t="inlineStr">
        <is>
          <t>Subtotal — supplemental benefits</t>
        </is>
      </c>
      <c r="B15" s="51">
        <f>SUM(B10:B14)</f>
        <v/>
      </c>
    </row>
    <row r="17">
      <c r="A17" s="20" t="inlineStr">
        <is>
          <t>Total direct member value</t>
        </is>
      </c>
      <c r="B17" s="23">
        <f>B7+B15</f>
        <v/>
      </c>
    </row>
    <row r="18">
      <c r="A18" s="8" t="inlineStr">
        <is>
          <t>Administrative load on rebate-funded benefits</t>
        </is>
      </c>
      <c r="B18" s="17" t="n">
        <v>11</v>
      </c>
    </row>
    <row r="19">
      <c r="A19" s="8" t="inlineStr">
        <is>
          <t>Margin on rebate-funded benefits (balancing item)</t>
        </is>
      </c>
      <c r="B19" s="45">
        <f>B4-B17-B18</f>
        <v/>
      </c>
    </row>
    <row r="20">
      <c r="A20" s="20" t="inlineStr">
        <is>
          <t>Total allocated</t>
        </is>
      </c>
      <c r="B20" s="23">
        <f>B17+B18+B19</f>
        <v/>
      </c>
    </row>
    <row r="21">
      <c r="A21" s="8" t="inlineStr">
        <is>
          <t>Check — unallocated rebate (must be zero)</t>
        </is>
      </c>
      <c r="B21" s="45">
        <f>B4-B20</f>
        <v/>
      </c>
    </row>
    <row r="23">
      <c r="A23" s="8" t="inlineStr">
        <is>
          <t>Memo: direct member value as % of rebate</t>
        </is>
      </c>
      <c r="B23" s="53">
        <f>B17/B4</f>
        <v/>
      </c>
    </row>
    <row r="24">
      <c r="A24" s="8" t="inlineStr">
        <is>
          <t>Memo: member cost sharing after buy-down (PMPM)</t>
        </is>
      </c>
      <c r="B24" s="45">
        <f>-'4. Plan Liability'!B5-B7</f>
        <v/>
      </c>
    </row>
    <row r="26">
      <c r="A26" s="40" t="inlineStr">
        <is>
          <t>DECISION POINT — This is the most commercially consequential page in the bid. The same $99.71 can be spent on a headline $0 deductible, a large OTC card that markets well, or a Part B giveback that shows up as a number on Plan Finder. Each buys a different amount of enrollment, and the plan is guessing at competitors who are making the same call behind the same June deadline.</t>
        </is>
      </c>
    </row>
    <row r="27"/>
    <row r="28"/>
  </sheetData>
  <mergeCells count="5">
    <mergeCell ref="A1:D1"/>
    <mergeCell ref="A9:D9"/>
    <mergeCell ref="A26:D28"/>
    <mergeCell ref="A6:D6"/>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2"/>
  <sheetViews>
    <sheetView showGridLines="0" workbookViewId="0">
      <pane ySplit="4" topLeftCell="A5" activePane="bottomLeft" state="frozen"/>
      <selection pane="bottomLeft" activeCell="A1" sqref="A1"/>
    </sheetView>
  </sheetViews>
  <sheetFormatPr baseColWidth="8" defaultRowHeight="15"/>
  <cols>
    <col width="52" customWidth="1" min="1" max="1"/>
    <col width="18" customWidth="1" min="2" max="2"/>
    <col width="88" customWidth="1" min="3" max="3"/>
  </cols>
  <sheetData>
    <row r="1" ht="26" customHeight="1">
      <c r="A1" s="1" t="inlineStr">
        <is>
          <t>Step 10  |  Compliance Tests</t>
        </is>
      </c>
    </row>
    <row r="2">
      <c r="A2" s="2" t="inlineStr">
        <is>
          <t>Run before certification. A bid that fails any of these does not get filed.</t>
        </is>
      </c>
    </row>
    <row r="4">
      <c r="A4" s="3" t="inlineStr">
        <is>
          <t>MEDICAL LOSS RATIO</t>
        </is>
      </c>
    </row>
    <row r="5">
      <c r="A5" s="8" t="inlineStr">
        <is>
          <t>Revenue PMPM (risk-adjusted)</t>
        </is>
      </c>
      <c r="B5" s="46">
        <f>'6. Benchmark &amp; Rebate'!B23</f>
        <v/>
      </c>
    </row>
    <row r="6">
      <c r="A6" s="8" t="inlineStr">
        <is>
          <t>Basic A/B claims, risk-adjusted</t>
        </is>
      </c>
      <c r="B6" s="45">
        <f>'4. Plan Liability'!B6*'1. Assumptions'!$B$26</f>
        <v/>
      </c>
    </row>
    <row r="7">
      <c r="A7" s="8" t="inlineStr">
        <is>
          <t>Rebate-funded benefits, risk-adjusted</t>
        </is>
      </c>
      <c r="B7" s="45">
        <f>'7. Rebate Allocation'!B17*'1. Assumptions'!$B$26</f>
        <v/>
      </c>
    </row>
    <row r="8">
      <c r="A8" s="8" t="inlineStr">
        <is>
          <t>Quality improvement activities, risk-adjusted</t>
        </is>
      </c>
      <c r="B8" s="45">
        <f>'1. Assumptions'!$B$38*'1. Assumptions'!$B$26</f>
        <v/>
      </c>
    </row>
    <row r="9">
      <c r="A9" s="20" t="inlineStr">
        <is>
          <t>MLR numerator</t>
        </is>
      </c>
      <c r="B9" s="23">
        <f>SUM(B6:B8)</f>
        <v/>
      </c>
    </row>
    <row r="10">
      <c r="A10" s="20" t="inlineStr">
        <is>
          <t>Projected MLR</t>
        </is>
      </c>
      <c r="B10" s="39">
        <f>B9/B5</f>
        <v/>
      </c>
    </row>
    <row r="11">
      <c r="A11" s="8" t="inlineStr">
        <is>
          <t>CMS minimum</t>
        </is>
      </c>
      <c r="B11" s="52">
        <f>'1. Assumptions'!$B$52</f>
        <v/>
      </c>
    </row>
    <row r="12">
      <c r="A12" s="8" t="inlineStr">
        <is>
          <t>Cushion</t>
        </is>
      </c>
      <c r="B12" s="49">
        <f>B10-B11</f>
        <v/>
      </c>
    </row>
    <row r="13">
      <c r="A13" s="20" t="inlineStr">
        <is>
          <t>Result</t>
        </is>
      </c>
      <c r="B13" s="61">
        <f>IF(B10&gt;=B11,"PASS","FAIL")</f>
        <v/>
      </c>
      <c r="C13" s="15" t="inlineStr">
        <is>
          <t>Below 85% triggers remittance; sustained failure means an enrollment freeze and ultimately contract termination.</t>
        </is>
      </c>
    </row>
    <row r="15">
      <c r="A15" s="3" t="inlineStr">
        <is>
          <t>TOTAL BENEFICIARY COST</t>
        </is>
      </c>
    </row>
    <row r="16">
      <c r="A16" s="8" t="inlineStr">
        <is>
          <t>CY2026 TBC (premium + cost sharing)</t>
        </is>
      </c>
      <c r="B16" s="46">
        <f>'1. Assumptions'!$B$51</f>
        <v/>
      </c>
    </row>
    <row r="17">
      <c r="A17" s="8" t="inlineStr">
        <is>
          <t>CY2027 member premium</t>
        </is>
      </c>
      <c r="B17" s="46">
        <f>'6. Benchmark &amp; Rebate'!B18</f>
        <v/>
      </c>
    </row>
    <row r="18">
      <c r="A18" s="8" t="inlineStr">
        <is>
          <t>CY2027 member cost sharing (after rebate buy-down)</t>
        </is>
      </c>
      <c r="B18" s="46">
        <f>'7. Rebate Allocation'!B24</f>
        <v/>
      </c>
    </row>
    <row r="19">
      <c r="A19" s="20" t="inlineStr">
        <is>
          <t>CY2027 TBC</t>
        </is>
      </c>
      <c r="B19" s="23">
        <f>B17+B18</f>
        <v/>
      </c>
    </row>
    <row r="20">
      <c r="A20" s="8" t="inlineStr">
        <is>
          <t>Year-over-year change</t>
        </is>
      </c>
      <c r="B20" s="45">
        <f>B19-B16</f>
        <v/>
      </c>
    </row>
    <row r="21">
      <c r="A21" s="20" t="inlineStr">
        <is>
          <t>Result</t>
        </is>
      </c>
      <c r="B21" s="61">
        <f>IF(B20&lt;=0,"PASS - beneficiary cost decreases","REVIEW vs CMS threshold")</f>
        <v/>
      </c>
    </row>
    <row r="23">
      <c r="A23" s="3" t="inlineStr">
        <is>
          <t>MAXIMUM OUT-OF-POCKET</t>
        </is>
      </c>
    </row>
    <row r="24">
      <c r="A24" s="8" t="inlineStr">
        <is>
          <t>Plan in-network MOOP</t>
        </is>
      </c>
      <c r="B24" s="62">
        <f>'1. Assumptions'!$B$53</f>
        <v/>
      </c>
    </row>
    <row r="25">
      <c r="A25" s="8" t="inlineStr">
        <is>
          <t>CMS mandatory limit</t>
        </is>
      </c>
      <c r="B25" s="62">
        <f>'1. Assumptions'!$B$54</f>
        <v/>
      </c>
    </row>
    <row r="26">
      <c r="A26" s="20" t="inlineStr">
        <is>
          <t>Result</t>
        </is>
      </c>
      <c r="B26" s="61">
        <f>IF(B24&lt;=B25,"PASS","FAIL")</f>
        <v/>
      </c>
    </row>
    <row r="28">
      <c r="A28" s="3" t="inlineStr">
        <is>
          <t>MARGIN</t>
        </is>
      </c>
    </row>
    <row r="29">
      <c r="A29" s="8" t="inlineStr">
        <is>
          <t>Bid margin</t>
        </is>
      </c>
      <c r="B29" s="46">
        <f>'4. Plan Liability'!B18</f>
        <v/>
      </c>
    </row>
    <row r="30">
      <c r="A30" s="8" t="inlineStr">
        <is>
          <t>Rebate-funded margin</t>
        </is>
      </c>
      <c r="B30" s="46">
        <f>'7. Rebate Allocation'!B19</f>
        <v/>
      </c>
    </row>
    <row r="31">
      <c r="A31" s="20" t="inlineStr">
        <is>
          <t>Total margin (standardized PMPM)</t>
        </is>
      </c>
      <c r="B31" s="23">
        <f>B29+B30</f>
        <v/>
      </c>
    </row>
    <row r="32">
      <c r="A32" s="8" t="inlineStr">
        <is>
          <t>Total margin as % of standardized revenue</t>
        </is>
      </c>
      <c r="B32" s="49">
        <f>B31/'6. Benchmark &amp; Rebate'!B21</f>
        <v/>
      </c>
    </row>
  </sheetData>
  <mergeCells count="6">
    <mergeCell ref="A1:D1"/>
    <mergeCell ref="A23:D23"/>
    <mergeCell ref="A4:D4"/>
    <mergeCell ref="A15:D15"/>
    <mergeCell ref="A2:D2"/>
    <mergeCell ref="A28:D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5"/>
  <sheetViews>
    <sheetView showGridLines="0" workbookViewId="0">
      <pane ySplit="4" topLeftCell="A5" activePane="bottomLeft" state="frozen"/>
      <selection pane="bottomLeft" activeCell="A1" sqref="A1"/>
    </sheetView>
  </sheetViews>
  <sheetFormatPr baseColWidth="8" defaultRowHeight="15"/>
  <cols>
    <col width="32" customWidth="1" min="1" max="1"/>
    <col width="9" customWidth="1" min="2" max="2"/>
    <col width="8" customWidth="1" min="3" max="3"/>
    <col width="9" customWidth="1" min="4" max="4"/>
    <col width="11" customWidth="1" min="5" max="5"/>
    <col width="9" customWidth="1" min="6" max="6"/>
    <col width="11" customWidth="1" min="7" max="7"/>
    <col width="13" customWidth="1" min="8" max="8"/>
    <col width="13" customWidth="1" min="9" max="9"/>
    <col width="12" customWidth="1" min="10" max="10"/>
    <col width="14" customWidth="1" min="11" max="11"/>
    <col width="12" customWidth="1" min="12" max="12"/>
    <col width="12" customWidth="1" min="13" max="13"/>
    <col width="10" customWidth="1" min="14" max="14"/>
    <col width="13" customWidth="1" min="15" max="15"/>
    <col width="16" customWidth="1" min="16" max="16"/>
    <col width="15" customWidth="1" min="17" max="17"/>
    <col width="14" customWidth="1" min="18" max="18"/>
    <col width="16" customWidth="1" min="19" max="19"/>
  </cols>
  <sheetData>
    <row r="1" ht="26" customHeight="1">
      <c r="A1" s="1" t="inlineStr">
        <is>
          <t>Scenario Sensitivity</t>
        </is>
      </c>
    </row>
    <row r="2">
      <c r="A2" s="2" t="inlineStr">
        <is>
          <t>Each row re-solves the bid with one lever changed. Trend scenarios scale projected allowed cost off the implied blended trend on Sheet 3 — an approximation, close enough for direction and magnitude but not a substitute for re-running the category grid. Every scenario holds target margin constant and lets the rebate absorb the difference; a plan could instead hold benefits and let margin absorb it.</t>
        </is>
      </c>
    </row>
    <row r="4" ht="34" customHeight="1">
      <c r="A4" s="28" t="inlineStr">
        <is>
          <t>Scenario</t>
        </is>
      </c>
      <c r="B4" s="28" t="inlineStr">
        <is>
          <t>Star
Rating</t>
        </is>
      </c>
      <c r="C4" s="28" t="inlineStr">
        <is>
          <t>QBP</t>
        </is>
      </c>
      <c r="D4" s="28" t="inlineStr">
        <is>
          <t>Rebate
Share</t>
        </is>
      </c>
      <c r="E4" s="28" t="inlineStr">
        <is>
          <t>Trend Delta
(pp/yr)</t>
        </is>
      </c>
      <c r="F4" s="28" t="inlineStr">
        <is>
          <t>RAF
Factor</t>
        </is>
      </c>
      <c r="G4" s="28" t="inlineStr">
        <is>
          <t>Applicable
%</t>
        </is>
      </c>
      <c r="H4" s="28" t="inlineStr">
        <is>
          <t>Benchmark
($)</t>
        </is>
      </c>
      <c r="I4" s="28" t="inlineStr">
        <is>
          <t>Projected
Allowed ($)</t>
        </is>
      </c>
      <c r="J4" s="28" t="inlineStr">
        <is>
          <t>Plan-Paid
Basic ($)</t>
        </is>
      </c>
      <c r="K4" s="28" t="inlineStr">
        <is>
          <t>Standardized
Bid ($)</t>
        </is>
      </c>
      <c r="L4" s="28" t="inlineStr">
        <is>
          <t>Savings
($)</t>
        </is>
      </c>
      <c r="M4" s="28" t="inlineStr">
        <is>
          <t>Rebate
($)</t>
        </is>
      </c>
      <c r="N4" s="28" t="inlineStr">
        <is>
          <t>Payment
RAF</t>
        </is>
      </c>
      <c r="O4" s="28" t="inlineStr">
        <is>
          <t>Revenue
PMPM ($)</t>
        </is>
      </c>
      <c r="P4" s="28" t="inlineStr">
        <is>
          <t>Annual
Revenue ($)</t>
        </is>
      </c>
      <c r="Q4" s="28" t="inlineStr">
        <is>
          <t>Annual Rev
vs Base ($)</t>
        </is>
      </c>
      <c r="R4" s="28" t="inlineStr">
        <is>
          <t>Rebate vs
Base ($ PMPM)</t>
        </is>
      </c>
      <c r="S4" s="28" t="inlineStr">
        <is>
          <t>Annual Rebate
vs Base ($)</t>
        </is>
      </c>
    </row>
    <row r="5">
      <c r="A5" s="63" t="inlineStr">
        <is>
          <t>Base case</t>
        </is>
      </c>
      <c r="B5" s="64" t="n">
        <v>4</v>
      </c>
      <c r="C5" s="65" t="n">
        <v>0.05</v>
      </c>
      <c r="D5" s="65" t="n">
        <v>0.65</v>
      </c>
      <c r="E5" s="65" t="n">
        <v>0</v>
      </c>
      <c r="F5" s="65" t="n">
        <v>1</v>
      </c>
      <c r="G5" s="65" t="n">
        <v>1</v>
      </c>
      <c r="H5" s="66">
        <f>'1. Assumptions'!$B$44*G5*(1+C5)</f>
        <v/>
      </c>
      <c r="I5" s="66">
        <f>'3. Projected Allowed'!$B$23*((1+'3. Projected Allowed'!$B$25+E5)/(1+'3. Projected Allowed'!$B$25))^'1. Assumptions'!$B$14</f>
        <v/>
      </c>
      <c r="J5" s="66">
        <f>I5*(1-'1. Assumptions'!$B$35)</f>
        <v/>
      </c>
      <c r="K5" s="66">
        <f>(J5+'1. Assumptions'!$B$40)/(1-'1. Assumptions'!$B$41)</f>
        <v/>
      </c>
      <c r="L5" s="66">
        <f>H5-K5</f>
        <v/>
      </c>
      <c r="M5" s="66">
        <f>L5*D5</f>
        <v/>
      </c>
      <c r="N5" s="67">
        <f>'1. Assumptions'!$B$26*F5</f>
        <v/>
      </c>
      <c r="O5" s="66">
        <f>(K5+M5)*N5</f>
        <v/>
      </c>
      <c r="P5" s="68">
        <f>O5*12*'1. Assumptions'!$B$15</f>
        <v/>
      </c>
      <c r="Q5" s="68">
        <f>P5-$P$5</f>
        <v/>
      </c>
      <c r="R5" s="66">
        <f>M5-$M$5</f>
        <v/>
      </c>
      <c r="S5" s="68">
        <f>R5*12*'1. Assumptions'!$B$15</f>
        <v/>
      </c>
    </row>
    <row r="6">
      <c r="A6" s="29" t="inlineStr">
        <is>
          <t>Stars fall to 3.5 — QBP lost</t>
        </is>
      </c>
      <c r="B6" s="69" t="n">
        <v>3.5</v>
      </c>
      <c r="C6" s="33" t="n">
        <v>0</v>
      </c>
      <c r="D6" s="33" t="n">
        <v>0.65</v>
      </c>
      <c r="E6" s="33" t="n">
        <v>0</v>
      </c>
      <c r="F6" s="33" t="n">
        <v>1</v>
      </c>
      <c r="G6" s="33" t="n">
        <v>1</v>
      </c>
      <c r="H6" s="32">
        <f>'1. Assumptions'!$B$44*G6*(1+C6)</f>
        <v/>
      </c>
      <c r="I6" s="32">
        <f>'3. Projected Allowed'!$B$23*((1+'3. Projected Allowed'!$B$25+E6)/(1+'3. Projected Allowed'!$B$25))^'1. Assumptions'!$B$14</f>
        <v/>
      </c>
      <c r="J6" s="32">
        <f>I6*(1-'1. Assumptions'!$B$35)</f>
        <v/>
      </c>
      <c r="K6" s="32">
        <f>(J6+'1. Assumptions'!$B$40)/(1-'1. Assumptions'!$B$41)</f>
        <v/>
      </c>
      <c r="L6" s="32">
        <f>H6-K6</f>
        <v/>
      </c>
      <c r="M6" s="32">
        <f>L6*D6</f>
        <v/>
      </c>
      <c r="N6" s="43">
        <f>'1. Assumptions'!$B$26*F6</f>
        <v/>
      </c>
      <c r="O6" s="32">
        <f>(K6+M6)*N6</f>
        <v/>
      </c>
      <c r="P6" s="70">
        <f>O6*12*'1. Assumptions'!$B$15</f>
        <v/>
      </c>
      <c r="Q6" s="70">
        <f>P6-$P$5</f>
        <v/>
      </c>
      <c r="R6" s="32">
        <f>M6-$M$5</f>
        <v/>
      </c>
      <c r="S6" s="70">
        <f>R6*12*'1. Assumptions'!$B$15</f>
        <v/>
      </c>
    </row>
    <row r="7">
      <c r="A7" s="29" t="inlineStr">
        <is>
          <t>Stars rise to 4.5 — 70% share</t>
        </is>
      </c>
      <c r="B7" s="69" t="n">
        <v>4.5</v>
      </c>
      <c r="C7" s="33" t="n">
        <v>0.05</v>
      </c>
      <c r="D7" s="33" t="n">
        <v>0.7</v>
      </c>
      <c r="E7" s="33" t="n">
        <v>0</v>
      </c>
      <c r="F7" s="33" t="n">
        <v>1</v>
      </c>
      <c r="G7" s="33" t="n">
        <v>1</v>
      </c>
      <c r="H7" s="32">
        <f>'1. Assumptions'!$B$44*G7*(1+C7)</f>
        <v/>
      </c>
      <c r="I7" s="32">
        <f>'3. Projected Allowed'!$B$23*((1+'3. Projected Allowed'!$B$25+E7)/(1+'3. Projected Allowed'!$B$25))^'1. Assumptions'!$B$14</f>
        <v/>
      </c>
      <c r="J7" s="32">
        <f>I7*(1-'1. Assumptions'!$B$35)</f>
        <v/>
      </c>
      <c r="K7" s="32">
        <f>(J7+'1. Assumptions'!$B$40)/(1-'1. Assumptions'!$B$41)</f>
        <v/>
      </c>
      <c r="L7" s="32">
        <f>H7-K7</f>
        <v/>
      </c>
      <c r="M7" s="32">
        <f>L7*D7</f>
        <v/>
      </c>
      <c r="N7" s="43">
        <f>'1. Assumptions'!$B$26*F7</f>
        <v/>
      </c>
      <c r="O7" s="32">
        <f>(K7+M7)*N7</f>
        <v/>
      </c>
      <c r="P7" s="70">
        <f>O7*12*'1. Assumptions'!$B$15</f>
        <v/>
      </c>
      <c r="Q7" s="70">
        <f>P7-$P$5</f>
        <v/>
      </c>
      <c r="R7" s="32">
        <f>M7-$M$5</f>
        <v/>
      </c>
      <c r="S7" s="70">
        <f>R7*12*'1. Assumptions'!$B$15</f>
        <v/>
      </c>
    </row>
    <row r="8">
      <c r="A8" s="29" t="inlineStr">
        <is>
          <t>Trend 1 pt/yr higher</t>
        </is>
      </c>
      <c r="B8" s="69" t="n">
        <v>4</v>
      </c>
      <c r="C8" s="33" t="n">
        <v>0.05</v>
      </c>
      <c r="D8" s="33" t="n">
        <v>0.65</v>
      </c>
      <c r="E8" s="33" t="n">
        <v>0.01</v>
      </c>
      <c r="F8" s="33" t="n">
        <v>1</v>
      </c>
      <c r="G8" s="33" t="n">
        <v>1</v>
      </c>
      <c r="H8" s="32">
        <f>'1. Assumptions'!$B$44*G8*(1+C8)</f>
        <v/>
      </c>
      <c r="I8" s="32">
        <f>'3. Projected Allowed'!$B$23*((1+'3. Projected Allowed'!$B$25+E8)/(1+'3. Projected Allowed'!$B$25))^'1. Assumptions'!$B$14</f>
        <v/>
      </c>
      <c r="J8" s="32">
        <f>I8*(1-'1. Assumptions'!$B$35)</f>
        <v/>
      </c>
      <c r="K8" s="32">
        <f>(J8+'1. Assumptions'!$B$40)/(1-'1. Assumptions'!$B$41)</f>
        <v/>
      </c>
      <c r="L8" s="32">
        <f>H8-K8</f>
        <v/>
      </c>
      <c r="M8" s="32">
        <f>L8*D8</f>
        <v/>
      </c>
      <c r="N8" s="43">
        <f>'1. Assumptions'!$B$26*F8</f>
        <v/>
      </c>
      <c r="O8" s="32">
        <f>(K8+M8)*N8</f>
        <v/>
      </c>
      <c r="P8" s="70">
        <f>O8*12*'1. Assumptions'!$B$15</f>
        <v/>
      </c>
      <c r="Q8" s="70">
        <f>P8-$P$5</f>
        <v/>
      </c>
      <c r="R8" s="32">
        <f>M8-$M$5</f>
        <v/>
      </c>
      <c r="S8" s="70">
        <f>R8*12*'1. Assumptions'!$B$15</f>
        <v/>
      </c>
    </row>
    <row r="9">
      <c r="A9" s="29" t="inlineStr">
        <is>
          <t>Trend 1 pt/yr lower</t>
        </is>
      </c>
      <c r="B9" s="69" t="n">
        <v>4</v>
      </c>
      <c r="C9" s="33" t="n">
        <v>0.05</v>
      </c>
      <c r="D9" s="33" t="n">
        <v>0.65</v>
      </c>
      <c r="E9" s="33" t="n">
        <v>-0.01</v>
      </c>
      <c r="F9" s="33" t="n">
        <v>1</v>
      </c>
      <c r="G9" s="33" t="n">
        <v>1</v>
      </c>
      <c r="H9" s="32">
        <f>'1. Assumptions'!$B$44*G9*(1+C9)</f>
        <v/>
      </c>
      <c r="I9" s="32">
        <f>'3. Projected Allowed'!$B$23*((1+'3. Projected Allowed'!$B$25+E9)/(1+'3. Projected Allowed'!$B$25))^'1. Assumptions'!$B$14</f>
        <v/>
      </c>
      <c r="J9" s="32">
        <f>I9*(1-'1. Assumptions'!$B$35)</f>
        <v/>
      </c>
      <c r="K9" s="32">
        <f>(J9+'1. Assumptions'!$B$40)/(1-'1. Assumptions'!$B$41)</f>
        <v/>
      </c>
      <c r="L9" s="32">
        <f>H9-K9</f>
        <v/>
      </c>
      <c r="M9" s="32">
        <f>L9*D9</f>
        <v/>
      </c>
      <c r="N9" s="43">
        <f>'1. Assumptions'!$B$26*F9</f>
        <v/>
      </c>
      <c r="O9" s="32">
        <f>(K9+M9)*N9</f>
        <v/>
      </c>
      <c r="P9" s="70">
        <f>O9*12*'1. Assumptions'!$B$15</f>
        <v/>
      </c>
      <c r="Q9" s="70">
        <f>P9-$P$5</f>
        <v/>
      </c>
      <c r="R9" s="32">
        <f>M9-$M$5</f>
        <v/>
      </c>
      <c r="S9" s="70">
        <f>R9*12*'1. Assumptions'!$B$15</f>
        <v/>
      </c>
    </row>
    <row r="10">
      <c r="A10" s="29" t="inlineStr">
        <is>
          <t>RAF 3% below projection</t>
        </is>
      </c>
      <c r="B10" s="69" t="n">
        <v>4</v>
      </c>
      <c r="C10" s="33" t="n">
        <v>0.05</v>
      </c>
      <c r="D10" s="33" t="n">
        <v>0.65</v>
      </c>
      <c r="E10" s="33" t="n">
        <v>0</v>
      </c>
      <c r="F10" s="33" t="n">
        <v>0.97</v>
      </c>
      <c r="G10" s="33" t="n">
        <v>1</v>
      </c>
      <c r="H10" s="32">
        <f>'1. Assumptions'!$B$44*G10*(1+C10)</f>
        <v/>
      </c>
      <c r="I10" s="32">
        <f>'3. Projected Allowed'!$B$23*((1+'3. Projected Allowed'!$B$25+E10)/(1+'3. Projected Allowed'!$B$25))^'1. Assumptions'!$B$14</f>
        <v/>
      </c>
      <c r="J10" s="32">
        <f>I10*(1-'1. Assumptions'!$B$35)</f>
        <v/>
      </c>
      <c r="K10" s="32">
        <f>(J10+'1. Assumptions'!$B$40)/(1-'1. Assumptions'!$B$41)</f>
        <v/>
      </c>
      <c r="L10" s="32">
        <f>H10-K10</f>
        <v/>
      </c>
      <c r="M10" s="32">
        <f>L10*D10</f>
        <v/>
      </c>
      <c r="N10" s="43">
        <f>'1. Assumptions'!$B$26*F10</f>
        <v/>
      </c>
      <c r="O10" s="32">
        <f>(K10+M10)*N10</f>
        <v/>
      </c>
      <c r="P10" s="70">
        <f>O10*12*'1. Assumptions'!$B$15</f>
        <v/>
      </c>
      <c r="Q10" s="70">
        <f>P10-$P$5</f>
        <v/>
      </c>
      <c r="R10" s="32">
        <f>M10-$M$5</f>
        <v/>
      </c>
      <c r="S10" s="70">
        <f>R10*12*'1. Assumptions'!$B$15</f>
        <v/>
      </c>
    </row>
    <row r="11">
      <c r="A11" s="29" t="inlineStr">
        <is>
          <t>County drops to quartile 1 (95%)</t>
        </is>
      </c>
      <c r="B11" s="69" t="n">
        <v>4</v>
      </c>
      <c r="C11" s="33" t="n">
        <v>0.05</v>
      </c>
      <c r="D11" s="33" t="n">
        <v>0.65</v>
      </c>
      <c r="E11" s="33" t="n">
        <v>0</v>
      </c>
      <c r="F11" s="33" t="n">
        <v>1</v>
      </c>
      <c r="G11" s="33" t="n">
        <v>0.95</v>
      </c>
      <c r="H11" s="32">
        <f>'1. Assumptions'!$B$44*G11*(1+C11)</f>
        <v/>
      </c>
      <c r="I11" s="32">
        <f>'3. Projected Allowed'!$B$23*((1+'3. Projected Allowed'!$B$25+E11)/(1+'3. Projected Allowed'!$B$25))^'1. Assumptions'!$B$14</f>
        <v/>
      </c>
      <c r="J11" s="32">
        <f>I11*(1-'1. Assumptions'!$B$35)</f>
        <v/>
      </c>
      <c r="K11" s="32">
        <f>(J11+'1. Assumptions'!$B$40)/(1-'1. Assumptions'!$B$41)</f>
        <v/>
      </c>
      <c r="L11" s="32">
        <f>H11-K11</f>
        <v/>
      </c>
      <c r="M11" s="32">
        <f>L11*D11</f>
        <v/>
      </c>
      <c r="N11" s="43">
        <f>'1. Assumptions'!$B$26*F11</f>
        <v/>
      </c>
      <c r="O11" s="32">
        <f>(K11+M11)*N11</f>
        <v/>
      </c>
      <c r="P11" s="70">
        <f>O11*12*'1. Assumptions'!$B$15</f>
        <v/>
      </c>
      <c r="Q11" s="70">
        <f>P11-$P$5</f>
        <v/>
      </c>
      <c r="R11" s="32">
        <f>M11-$M$5</f>
        <v/>
      </c>
      <c r="S11" s="70">
        <f>R11*12*'1. Assumptions'!$B$15</f>
        <v/>
      </c>
    </row>
    <row r="13">
      <c r="A13" s="40" t="inlineStr">
        <is>
          <t>READING THIS TABLE — The Star scenarios are the headline: losing the 4.0 threshold costs the plan nothing in margin but strips roughly $33 PMPM out of the member benefit package, which is what actually loses enrollment. The trend scenarios show the asymmetry actuaries live with: guess trend too low and the margin is gone with no way to reprice for twelve months; guess too high and the benefit package is uncompetitive against plans that guessed better.</t>
        </is>
      </c>
    </row>
    <row r="14"/>
    <row r="15"/>
  </sheetData>
  <mergeCells count="3">
    <mergeCell ref="A2:S2"/>
    <mergeCell ref="A1:S1"/>
    <mergeCell ref="A13:S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2026-08-13T04:03:36Z</dcterms:created>
  <dcterms:modified xmlns:dcterms="http://purl.org/dc/terms/" xmlns:xsi="http://www.w3.org/2001/XMLSchema-instance" xsi:type="dcterms:W3CDTF">2026-08-13T04:03:36Z</dcterms:modified>
</cp:coreProperties>
</file>